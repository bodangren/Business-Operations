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Error Checks" sheetId="3" state="visible" r:id="rId3"/>
    <sheet xmlns:r="http://schemas.openxmlformats.org/officeDocument/2006/relationships" name="Executive Summary" sheetId="4" state="visible" r:id="rId4"/>
  </sheets>
  <definedNames>
    <definedName name="_xlnm.Print_Area" localSheetId="0">'Transactions'!$A$1:$H$2</definedName>
    <definedName name="_xlnm.Print_Area" localSheetId="1">'Trial Balance'!$A$1:$E$27</definedName>
    <definedName name="_xlnm.Print_Area" localSheetId="2">'Error Checks'!$A$1:$D$5</definedName>
    <definedName name="_xlnm.Print_Area" localSheetId="3">'Executive Summary'!$A$1:$B$13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2" fillId="3" borderId="0" pivotButton="0" quotePrefix="0" xfId="0"/>
    <xf numFmtId="165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2" borderId="0" applyAlignment="1" pivotButton="0" quotePrefix="0" xfId="0">
      <alignment horizontal="center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edgerTable" displayName="LedgerTable" ref="A1:H2" headerRowCount="1">
  <autoFilter ref="A1:H2"/>
  <tableColumns count="8">
    <tableColumn id="1" name="Transaction ID"/>
    <tableColumn id="2" name="Date"/>
    <tableColumn id="3" name="Description"/>
    <tableColumn id="4" name="Account"/>
    <tableColumn id="5" name="Type"/>
    <tableColumn id="6" name="Debit"/>
    <tableColumn id="7" name="Credit"/>
    <tableColumn id="8" name="Entry Dif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8" customWidth="1" min="3" max="3"/>
    <col width="30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Type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Entry Difference</t>
        </is>
      </c>
    </row>
    <row r="2">
      <c r="A2" t="inlineStr"/>
      <c r="B2" s="2" t="inlineStr"/>
      <c r="C2" t="inlineStr"/>
      <c r="D2" t="inlineStr"/>
      <c r="E2" t="inlineStr"/>
      <c r="F2" s="3" t="n">
        <v>0</v>
      </c>
      <c r="G2" s="3" t="n">
        <v>0</v>
      </c>
      <c r="H2" s="3">
        <f>SUMIFS(LedgerTable[Debit],LedgerTable[Transaction ID],[@[Transaction ID]])-SUMIFS(LedgerTable[Credit],LedgerTable[Transaction ID],[@[Transaction ID]])</f>
        <v/>
      </c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Account</t>
        </is>
      </c>
      <c r="B1" s="1" t="inlineStr">
        <is>
          <t>Total Debits</t>
        </is>
      </c>
      <c r="C1" s="1" t="inlineStr">
        <is>
          <t>Total Credits</t>
        </is>
      </c>
      <c r="D1" s="1" t="inlineStr">
        <is>
          <t>Debit Balance</t>
        </is>
      </c>
      <c r="E1" s="1" t="inlineStr">
        <is>
          <t>Credit Balance</t>
        </is>
      </c>
    </row>
    <row r="2">
      <c r="A2" t="inlineStr">
        <is>
          <t>Cash</t>
        </is>
      </c>
      <c r="B2" s="4">
        <f>SUMIF(LedgerTable[Account],A2,LedgerTable[Debit])</f>
        <v/>
      </c>
      <c r="C2" s="4">
        <f>SUMIF(LedgerTable[Account],A2,LedgerTable[Credit])</f>
        <v/>
      </c>
      <c r="D2" s="4">
        <f>MAX(B2-C2,0)</f>
        <v/>
      </c>
      <c r="E2" s="4">
        <f>MAX(C2-B2,0)</f>
        <v/>
      </c>
    </row>
    <row r="3">
      <c r="A3" t="inlineStr">
        <is>
          <t>Accounts Receivable</t>
        </is>
      </c>
      <c r="B3" s="4">
        <f>SUMIF(LedgerTable[Account],A3,LedgerTable[Debit])</f>
        <v/>
      </c>
      <c r="C3" s="4">
        <f>SUMIF(LedgerTable[Account],A3,LedgerTable[Credit])</f>
        <v/>
      </c>
      <c r="D3" s="4">
        <f>MAX(B3-C3,0)</f>
        <v/>
      </c>
      <c r="E3" s="4">
        <f>MAX(C3-B3,0)</f>
        <v/>
      </c>
    </row>
    <row r="4">
      <c r="A4" t="inlineStr">
        <is>
          <t>Supplies Inventory</t>
        </is>
      </c>
      <c r="B4" s="4">
        <f>SUMIF(LedgerTable[Account],A4,LedgerTable[Debit])</f>
        <v/>
      </c>
      <c r="C4" s="4">
        <f>SUMIF(LedgerTable[Account],A4,LedgerTable[Credit])</f>
        <v/>
      </c>
      <c r="D4" s="4">
        <f>MAX(B4-C4,0)</f>
        <v/>
      </c>
      <c r="E4" s="4">
        <f>MAX(C4-B4,0)</f>
        <v/>
      </c>
    </row>
    <row r="5">
      <c r="A5" t="inlineStr">
        <is>
          <t>Inventory</t>
        </is>
      </c>
      <c r="B5" s="4">
        <f>SUMIF(LedgerTable[Account],A5,LedgerTable[Debit])</f>
        <v/>
      </c>
      <c r="C5" s="4">
        <f>SUMIF(LedgerTable[Account],A5,LedgerTable[Credit])</f>
        <v/>
      </c>
      <c r="D5" s="4">
        <f>MAX(B5-C5,0)</f>
        <v/>
      </c>
      <c r="E5" s="4">
        <f>MAX(C5-B5,0)</f>
        <v/>
      </c>
    </row>
    <row r="6">
      <c r="A6" t="inlineStr">
        <is>
          <t>Equipment</t>
        </is>
      </c>
      <c r="B6" s="4">
        <f>SUMIF(LedgerTable[Account],A6,LedgerTable[Debit])</f>
        <v/>
      </c>
      <c r="C6" s="4">
        <f>SUMIF(LedgerTable[Account],A6,LedgerTable[Credit])</f>
        <v/>
      </c>
      <c r="D6" s="4">
        <f>MAX(B6-C6,0)</f>
        <v/>
      </c>
      <c r="E6" s="4">
        <f>MAX(C6-B6,0)</f>
        <v/>
      </c>
    </row>
    <row r="7">
      <c r="A7" t="inlineStr">
        <is>
          <t>Accounts Payable</t>
        </is>
      </c>
      <c r="B7" s="4">
        <f>SUMIF(LedgerTable[Account],A7,LedgerTable[Debit])</f>
        <v/>
      </c>
      <c r="C7" s="4">
        <f>SUMIF(LedgerTable[Account],A7,LedgerTable[Credit])</f>
        <v/>
      </c>
      <c r="D7" s="4">
        <f>MAX(B7-C7,0)</f>
        <v/>
      </c>
      <c r="E7" s="4">
        <f>MAX(C7-B7,0)</f>
        <v/>
      </c>
    </row>
    <row r="8">
      <c r="A8" t="inlineStr">
        <is>
          <t>Notes Payable</t>
        </is>
      </c>
      <c r="B8" s="4">
        <f>SUMIF(LedgerTable[Account],A8,LedgerTable[Debit])</f>
        <v/>
      </c>
      <c r="C8" s="4">
        <f>SUMIF(LedgerTable[Account],A8,LedgerTable[Credit])</f>
        <v/>
      </c>
      <c r="D8" s="4">
        <f>MAX(B8-C8,0)</f>
        <v/>
      </c>
      <c r="E8" s="4">
        <f>MAX(C8-B8,0)</f>
        <v/>
      </c>
    </row>
    <row r="9">
      <c r="A9" t="inlineStr">
        <is>
          <t>Unearned Revenue</t>
        </is>
      </c>
      <c r="B9" s="4">
        <f>SUMIF(LedgerTable[Account],A9,LedgerTable[Debit])</f>
        <v/>
      </c>
      <c r="C9" s="4">
        <f>SUMIF(LedgerTable[Account],A9,LedgerTable[Credit])</f>
        <v/>
      </c>
      <c r="D9" s="4">
        <f>MAX(B9-C9,0)</f>
        <v/>
      </c>
      <c r="E9" s="4">
        <f>MAX(C9-B9,0)</f>
        <v/>
      </c>
    </row>
    <row r="10">
      <c r="A10" t="inlineStr">
        <is>
          <t>Owner's Capital</t>
        </is>
      </c>
      <c r="B10" s="4">
        <f>SUMIF(LedgerTable[Account],A10,LedgerTable[Debit])</f>
        <v/>
      </c>
      <c r="C10" s="4">
        <f>SUMIF(LedgerTable[Account],A10,LedgerTable[Credit])</f>
        <v/>
      </c>
      <c r="D10" s="4">
        <f>MAX(B10-C10,0)</f>
        <v/>
      </c>
      <c r="E10" s="4">
        <f>MAX(C10-B10,0)</f>
        <v/>
      </c>
    </row>
    <row r="11">
      <c r="A11" t="inlineStr">
        <is>
          <t>Owner's Draw</t>
        </is>
      </c>
      <c r="B11" s="4">
        <f>SUMIF(LedgerTable[Account],A11,LedgerTable[Debit])</f>
        <v/>
      </c>
      <c r="C11" s="4">
        <f>SUMIF(LedgerTable[Account],A11,LedgerTable[Credit])</f>
        <v/>
      </c>
      <c r="D11" s="4">
        <f>MAX(B11-C11,0)</f>
        <v/>
      </c>
      <c r="E11" s="4">
        <f>MAX(C11-B11,0)</f>
        <v/>
      </c>
    </row>
    <row r="12">
      <c r="A12" t="inlineStr">
        <is>
          <t>Service Revenue</t>
        </is>
      </c>
      <c r="B12" s="4">
        <f>SUMIF(LedgerTable[Account],A12,LedgerTable[Debit])</f>
        <v/>
      </c>
      <c r="C12" s="4">
        <f>SUMIF(LedgerTable[Account],A12,LedgerTable[Credit])</f>
        <v/>
      </c>
      <c r="D12" s="4">
        <f>MAX(B12-C12,0)</f>
        <v/>
      </c>
      <c r="E12" s="4">
        <f>MAX(C12-B12,0)</f>
        <v/>
      </c>
    </row>
    <row r="13">
      <c r="A13" t="inlineStr">
        <is>
          <t>Sales Revenue</t>
        </is>
      </c>
      <c r="B13" s="4">
        <f>SUMIF(LedgerTable[Account],A13,LedgerTable[Debit])</f>
        <v/>
      </c>
      <c r="C13" s="4">
        <f>SUMIF(LedgerTable[Account],A13,LedgerTable[Credit])</f>
        <v/>
      </c>
      <c r="D13" s="4">
        <f>MAX(B13-C13,0)</f>
        <v/>
      </c>
      <c r="E13" s="4">
        <f>MAX(C13-B13,0)</f>
        <v/>
      </c>
    </row>
    <row r="14">
      <c r="A14" t="inlineStr">
        <is>
          <t>Advertising Expense</t>
        </is>
      </c>
      <c r="B14" s="4">
        <f>SUMIF(LedgerTable[Account],A14,LedgerTable[Debit])</f>
        <v/>
      </c>
      <c r="C14" s="4">
        <f>SUMIF(LedgerTable[Account],A14,LedgerTable[Credit])</f>
        <v/>
      </c>
      <c r="D14" s="4">
        <f>MAX(B14-C14,0)</f>
        <v/>
      </c>
      <c r="E14" s="4">
        <f>MAX(C14-B14,0)</f>
        <v/>
      </c>
    </row>
    <row r="15">
      <c r="A15" t="inlineStr">
        <is>
          <t>Software Subscription Expense</t>
        </is>
      </c>
      <c r="B15" s="4">
        <f>SUMIF(LedgerTable[Account],A15,LedgerTable[Debit])</f>
        <v/>
      </c>
      <c r="C15" s="4">
        <f>SUMIF(LedgerTable[Account],A15,LedgerTable[Credit])</f>
        <v/>
      </c>
      <c r="D15" s="4">
        <f>MAX(B15-C15,0)</f>
        <v/>
      </c>
      <c r="E15" s="4">
        <f>MAX(C15-B15,0)</f>
        <v/>
      </c>
    </row>
    <row r="16">
      <c r="A16" t="inlineStr">
        <is>
          <t>Software Expense</t>
        </is>
      </c>
      <c r="B16" s="4">
        <f>SUMIF(LedgerTable[Account],A16,LedgerTable[Debit])</f>
        <v/>
      </c>
      <c r="C16" s="4">
        <f>SUMIF(LedgerTable[Account],A16,LedgerTable[Credit])</f>
        <v/>
      </c>
      <c r="D16" s="4">
        <f>MAX(B16-C16,0)</f>
        <v/>
      </c>
      <c r="E16" s="4">
        <f>MAX(C16-B16,0)</f>
        <v/>
      </c>
    </row>
    <row r="17">
      <c r="A17" t="inlineStr">
        <is>
          <t>Rent Expense</t>
        </is>
      </c>
      <c r="B17" s="4">
        <f>SUMIF(LedgerTable[Account],A17,LedgerTable[Debit])</f>
        <v/>
      </c>
      <c r="C17" s="4">
        <f>SUMIF(LedgerTable[Account],A17,LedgerTable[Credit])</f>
        <v/>
      </c>
      <c r="D17" s="4">
        <f>MAX(B17-C17,0)</f>
        <v/>
      </c>
      <c r="E17" s="4">
        <f>MAX(C17-B17,0)</f>
        <v/>
      </c>
    </row>
    <row r="18">
      <c r="A18" t="inlineStr">
        <is>
          <t>Salaries Expense</t>
        </is>
      </c>
      <c r="B18" s="4">
        <f>SUMIF(LedgerTable[Account],A18,LedgerTable[Debit])</f>
        <v/>
      </c>
      <c r="C18" s="4">
        <f>SUMIF(LedgerTable[Account],A18,LedgerTable[Credit])</f>
        <v/>
      </c>
      <c r="D18" s="4">
        <f>MAX(B18-C18,0)</f>
        <v/>
      </c>
      <c r="E18" s="4">
        <f>MAX(C18-B18,0)</f>
        <v/>
      </c>
    </row>
    <row r="19">
      <c r="A19" t="inlineStr">
        <is>
          <t>Wages Expense</t>
        </is>
      </c>
      <c r="B19" s="4">
        <f>SUMIF(LedgerTable[Account],A19,LedgerTable[Debit])</f>
        <v/>
      </c>
      <c r="C19" s="4">
        <f>SUMIF(LedgerTable[Account],A19,LedgerTable[Credit])</f>
        <v/>
      </c>
      <c r="D19" s="4">
        <f>MAX(B19-C19,0)</f>
        <v/>
      </c>
      <c r="E19" s="4">
        <f>MAX(C19-B19,0)</f>
        <v/>
      </c>
    </row>
    <row r="20">
      <c r="A20" t="inlineStr">
        <is>
          <t>Supplies Expense</t>
        </is>
      </c>
      <c r="B20" s="4">
        <f>SUMIF(LedgerTable[Account],A20,LedgerTable[Debit])</f>
        <v/>
      </c>
      <c r="C20" s="4">
        <f>SUMIF(LedgerTable[Account],A20,LedgerTable[Credit])</f>
        <v/>
      </c>
      <c r="D20" s="4">
        <f>MAX(B20-C20,0)</f>
        <v/>
      </c>
      <c r="E20" s="4">
        <f>MAX(C20-B20,0)</f>
        <v/>
      </c>
    </row>
    <row r="21">
      <c r="A21" t="inlineStr">
        <is>
          <t>Cost of Goods Sold</t>
        </is>
      </c>
      <c r="B21" s="4">
        <f>SUMIF(LedgerTable[Account],A21,LedgerTable[Debit])</f>
        <v/>
      </c>
      <c r="C21" s="4">
        <f>SUMIF(LedgerTable[Account],A21,LedgerTable[Credit])</f>
        <v/>
      </c>
      <c r="D21" s="4">
        <f>MAX(B21-C21,0)</f>
        <v/>
      </c>
      <c r="E21" s="4">
        <f>MAX(C21-B21,0)</f>
        <v/>
      </c>
    </row>
    <row r="22">
      <c r="A22" t="inlineStr">
        <is>
          <t>Fuel Expense</t>
        </is>
      </c>
      <c r="B22" s="4">
        <f>SUMIF(LedgerTable[Account],A22,LedgerTable[Debit])</f>
        <v/>
      </c>
      <c r="C22" s="4">
        <f>SUMIF(LedgerTable[Account],A22,LedgerTable[Credit])</f>
        <v/>
      </c>
      <c r="D22" s="4">
        <f>MAX(B22-C22,0)</f>
        <v/>
      </c>
      <c r="E22" s="4">
        <f>MAX(C22-B22,0)</f>
        <v/>
      </c>
    </row>
    <row r="23">
      <c r="A23" t="inlineStr">
        <is>
          <t>Utilities Expense</t>
        </is>
      </c>
      <c r="B23" s="4">
        <f>SUMIF(LedgerTable[Account],A23,LedgerTable[Debit])</f>
        <v/>
      </c>
      <c r="C23" s="4">
        <f>SUMIF(LedgerTable[Account],A23,LedgerTable[Credit])</f>
        <v/>
      </c>
      <c r="D23" s="4">
        <f>MAX(B23-C23,0)</f>
        <v/>
      </c>
      <c r="E23" s="4">
        <f>MAX(C23-B23,0)</f>
        <v/>
      </c>
    </row>
    <row r="24">
      <c r="A24" s="5" t="inlineStr">
        <is>
          <t>Totals</t>
        </is>
      </c>
      <c r="B24" s="6">
        <f>SUM(B2:B23)</f>
        <v/>
      </c>
      <c r="C24" s="6">
        <f>SUM(C2:C23)</f>
        <v/>
      </c>
      <c r="D24" s="6">
        <f>SUM(D2:D23)</f>
        <v/>
      </c>
      <c r="E24" s="6">
        <f>SUM(E2:E23)</f>
        <v/>
      </c>
    </row>
    <row r="25">
      <c r="B25" s="3" t="n"/>
      <c r="C25" s="3" t="n"/>
      <c r="D25" s="3" t="n"/>
      <c r="E25" s="3" t="n"/>
    </row>
    <row r="26">
      <c r="A26" t="inlineStr">
        <is>
          <t>Difference</t>
        </is>
      </c>
      <c r="B26" s="4">
        <f>D24-E24</f>
        <v/>
      </c>
      <c r="C26" s="3" t="n"/>
      <c r="D26" s="3" t="n"/>
      <c r="E26" s="3" t="n"/>
    </row>
    <row r="27">
      <c r="A27" t="inlineStr">
        <is>
          <t>Status</t>
        </is>
      </c>
      <c r="B27" s="4">
        <f>IF(ABS(B26)&lt;0.01,"Balanced","Review Needed")</f>
        <v/>
      </c>
      <c r="C27" s="3" t="n"/>
      <c r="D27" s="3" t="n"/>
      <c r="E27" s="3" t="n"/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48" customWidth="1" min="4" max="4"/>
  </cols>
  <sheetData>
    <row r="1">
      <c r="A1" s="1" t="inlineStr">
        <is>
          <t>Control</t>
        </is>
      </c>
      <c r="B1" s="1" t="inlineStr">
        <is>
          <t>Result</t>
        </is>
      </c>
      <c r="C1" s="1" t="inlineStr">
        <is>
          <t>Status</t>
        </is>
      </c>
      <c r="D1" s="1" t="inlineStr">
        <is>
          <t>Action if Review</t>
        </is>
      </c>
    </row>
    <row r="2">
      <c r="A2" t="inlineStr">
        <is>
          <t>Ledger debit-credit difference</t>
        </is>
      </c>
      <c r="B2" s="7">
        <f>SUM(LedgerTable[Debit])-SUM(LedgerTable[Credit])</f>
        <v/>
      </c>
      <c r="C2" s="8">
        <f>IF(ABS(B2)&lt;0.01,"Pass","Review")</f>
        <v/>
      </c>
      <c r="D2" t="inlineStr">
        <is>
          <t>Find a missing or unequal amount.</t>
        </is>
      </c>
    </row>
    <row r="3">
      <c r="A3" t="inlineStr">
        <is>
          <t>Rows in unbalanced transactions</t>
        </is>
      </c>
      <c r="B3" s="7">
        <f>COUNTIF(LedgerTable[Entry Difference],"&lt;&gt;0")</f>
        <v/>
      </c>
      <c r="C3" s="8">
        <f>IF(ABS(B3)&lt;0.01,"Pass","Review")</f>
        <v/>
      </c>
      <c r="D3" t="inlineStr">
        <is>
          <t>Filter Entry Difference for nonzero values.</t>
        </is>
      </c>
    </row>
    <row r="4">
      <c r="A4" t="inlineStr">
        <is>
          <t>Rows with a blank account</t>
        </is>
      </c>
      <c r="B4" s="7">
        <f>COUNTBLANK(LedgerTable[Account])</f>
        <v/>
      </c>
      <c r="C4" s="8">
        <f>IF(ABS(B4)&lt;0.01,"Pass","Review")</f>
        <v/>
      </c>
      <c r="D4" t="inlineStr">
        <is>
          <t>Complete each Account cell.</t>
        </is>
      </c>
    </row>
    <row r="5">
      <c r="A5" t="inlineStr">
        <is>
          <t>Rows with both or neither amount</t>
        </is>
      </c>
      <c r="B5" s="7">
        <f>SUMPRODUCT(--((LedgerTable[Debit]=0)=(LedgerTable[Credit]=0)))</f>
        <v/>
      </c>
      <c r="C5" s="8">
        <f>IF(ABS(B5)&lt;0.01,"Pass","Review")</f>
        <v/>
      </c>
      <c r="D5" t="inlineStr">
        <is>
          <t>Each row needs one debit or one credit.</t>
        </is>
      </c>
    </row>
  </sheetData>
  <conditionalFormatting sqref="C2:C5">
    <cfRule type="cellIs" priority="1" operator="equal" dxfId="0">
      <formula>"Review"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6" customWidth="1" min="2" max="2"/>
  </cols>
  <sheetData>
    <row r="1">
      <c r="A1" s="9" t="inlineStr">
        <is>
          <t>Food Truck Venture Smart Ledger Summary</t>
        </is>
      </c>
    </row>
    <row r="2">
      <c r="A2" s="5" t="inlineStr">
        <is>
          <t>Prepared By</t>
        </is>
      </c>
      <c r="B2" s="7" t="inlineStr">
        <is>
          <t>Student Team</t>
        </is>
      </c>
    </row>
    <row r="3">
      <c r="A3" s="5" t="inlineStr">
        <is>
          <t>Total Debit Balances</t>
        </is>
      </c>
      <c r="B3" s="4">
        <f>'Trial Balance'!D24</f>
        <v/>
      </c>
    </row>
    <row r="4">
      <c r="A4" s="5" t="inlineStr">
        <is>
          <t>Total Credit Balances</t>
        </is>
      </c>
      <c r="B4" s="4">
        <f>'Trial Balance'!E24</f>
        <v/>
      </c>
    </row>
    <row r="5">
      <c r="A5" s="5" t="inlineStr">
        <is>
          <t>Difference</t>
        </is>
      </c>
      <c r="B5" s="4">
        <f>'Trial Balance'!B26</f>
        <v/>
      </c>
    </row>
    <row r="6">
      <c r="A6" s="5" t="inlineStr">
        <is>
          <t>Ledger Status</t>
        </is>
      </c>
      <c r="B6" s="7">
        <f>'Trial Balance'!B27</f>
        <v/>
      </c>
    </row>
    <row r="7">
      <c r="A7" s="5" t="inlineStr">
        <is>
          <t>Controls Needing Review</t>
        </is>
      </c>
      <c r="B7" s="7">
        <f>COUNTIF('Error Checks'!C2:C5,"Review")</f>
        <v/>
      </c>
    </row>
    <row r="8">
      <c r="A8" s="5" t="inlineStr">
        <is>
          <t>Revenue</t>
        </is>
      </c>
      <c r="B8" s="4">
        <f>SUMIFS(LedgerTable[Credit],LedgerTable[Type],"Revenue")-SUMIFS(LedgerTable[Debit],LedgerTable[Type],"Revenue")</f>
        <v/>
      </c>
    </row>
    <row r="9">
      <c r="A9" s="5" t="inlineStr">
        <is>
          <t>Expenses</t>
        </is>
      </c>
      <c r="B9" s="4">
        <f>SUMIFS(LedgerTable[Debit],LedgerTable[Type],"Expense")-SUMIFS(LedgerTable[Credit],LedgerTable[Type],"Expense")</f>
        <v/>
      </c>
    </row>
    <row r="10">
      <c r="A10" s="5" t="inlineStr">
        <is>
          <t>Net Income</t>
        </is>
      </c>
      <c r="B10" s="4">
        <f>B8-B9</f>
        <v/>
      </c>
    </row>
    <row r="11">
      <c r="A11" s="5" t="inlineStr">
        <is>
          <t>Cash Balance</t>
        </is>
      </c>
      <c r="B11" s="4">
        <f>SUMIF(LedgerTable[Account],"Cash",LedgerTable[Debit])-SUMIF(LedgerTable[Account],"Cash",LedgerTable[Credit])</f>
        <v/>
      </c>
    </row>
    <row r="12" ht="48" customHeight="1">
      <c r="A12" s="5" t="inlineStr">
        <is>
          <t>Recommendation</t>
        </is>
      </c>
      <c r="B12" s="10" t="inlineStr">
        <is>
          <t>Write one claim supported by at least three workbook values.</t>
        </is>
      </c>
    </row>
    <row r="13" ht="48" customHeight="1">
      <c r="A13" s="5" t="inlineStr">
        <is>
          <t>Risk or Limitation</t>
        </is>
      </c>
      <c r="B13" s="10" t="inlineStr">
        <is>
          <t>State one risk or limitation.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2026-09-04T08:03:22Z</dcterms:created>
  <dcterms:modified xmlns:dcterms="http://purl.org/dc/terms/" xmlns:xsi="http://www.w3.org/2001/XMLSchema-instance" xsi:type="dcterms:W3CDTF">2026-09-04T08:03:22Z</dcterms:modified>
</cp:coreProperties>
</file>