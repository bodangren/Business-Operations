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11207"/>
  <workbookPr/>
  <ns1:AlternateContent>
    <ns1:Choice Requires="x15">
      <ns2:absPath url="/Users/daniel.bodanske/Desktop/Business-Operations/bus-math-nextjs/public/resources/"/>
    </ns1:Choice>
  </ns1:AlternateContent>
  <ns3:revisionPtr revIDLastSave="0" documentId="13_ncr:1_{87071619-38AC-5B47-8663-48E1D113F1CB}" ns4:coauthVersionLast="47" ns4:coauthVersionMax="47" ns5:uidLastSave="{00000000-0000-0000-0000-000000000000}"/>
  <bookViews>
    <workbookView xWindow="640" yWindow="680" windowWidth="26340" windowHeight="15620" activeTab="3" ns6:uid="{00000000-000D-0000-FFFF-FFFF00000000}"/>
  </bookViews>
  <sheets>
    <sheet name="Pay Stub" sheetId="2" r:id="rId1"/>
    <sheet name="Single" sheetId="5" r:id="rId2"/>
    <sheet name="Married" sheetId="6" r:id="rId3"/>
    <sheet name="Head of Household" sheetId="7" r:id="rId4"/>
    <sheet name="Payroll Inputs" sheetId="8" r:id="rId9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  <definedName name="coeff_tpl_name">#REF!</definedName>
    <definedName name="valuevx">42.314159</definedName>
    <definedName name="vertex42_copyright">"© 2012-2014 Vertex42 LLC"</definedName>
    <definedName name="vertex42_id">"vehicle-maintenance-log.xlsx"</definedName>
    <definedName name="vertex42_title">"Vehicle Maintenance Log"</definedName>
  </definedNames>
  <calcPr calcId="191029" concurrentCalc="0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B21" i="2" l="1"/>
  <c r="D21" i="2"/>
  <c r="F21" i="2"/>
</calcChain>
</file>

<file path=xl/sharedStrings.xml><?xml version="1.0" encoding="utf-8"?>
<sst xmlns="http://schemas.openxmlformats.org/spreadsheetml/2006/main" count="124" uniqueCount="79">
  <si>
    <t xml:space="preserve">          Example Company Inc.</t>
  </si>
  <si>
    <t>Recipient</t>
  </si>
  <si>
    <t>Tax Status</t>
  </si>
  <si>
    <t>Payment Date</t>
  </si>
  <si>
    <t>Allowances</t>
  </si>
  <si>
    <t>Payment Method</t>
  </si>
  <si>
    <t>Additional Percentage</t>
  </si>
  <si>
    <t>Pay Rate</t>
  </si>
  <si>
    <t>Additional Ammount</t>
  </si>
  <si>
    <t>PAYMENTS</t>
  </si>
  <si>
    <t>DEDUCTIONS</t>
  </si>
  <si>
    <t>YEAR-TO-DATE</t>
  </si>
  <si>
    <t>Regular Pay</t>
  </si>
  <si>
    <t>Federal Tax</t>
  </si>
  <si>
    <t>Additional Pay</t>
  </si>
  <si>
    <t>State Tax</t>
  </si>
  <si>
    <t>Overtime Pay</t>
  </si>
  <si>
    <t>Social Security</t>
  </si>
  <si>
    <t>Bonus</t>
  </si>
  <si>
    <t>Medicare</t>
  </si>
  <si>
    <t>Medicare Tax</t>
  </si>
  <si>
    <t>Commissions</t>
  </si>
  <si>
    <t>Health Insurance</t>
  </si>
  <si>
    <t>TIME OFF BALANCES</t>
  </si>
  <si>
    <t>Vacation</t>
  </si>
  <si>
    <t>40 hours</t>
  </si>
  <si>
    <t>Personal Day</t>
  </si>
  <si>
    <t>8 hours</t>
  </si>
  <si>
    <t>Sick Leave</t>
  </si>
  <si>
    <t>24 hours</t>
  </si>
  <si>
    <t>Medical Leave</t>
  </si>
  <si>
    <t>16 hours</t>
  </si>
  <si>
    <t>TOTAL GROSS PAY</t>
  </si>
  <si>
    <t>TOTAL DEDUCTIONS</t>
  </si>
  <si>
    <t>TOTAL NET PAY</t>
  </si>
  <si>
    <t>Payroll Stub Template</t>
  </si>
  <si>
    <t>Lower Bound</t>
  </si>
  <si>
    <t>Upper Bound</t>
  </si>
  <si>
    <t>Base Tax</t>
  </si>
  <si>
    <t>Marginal Rate</t>
  </si>
  <si>
    <t>Tax Due</t>
  </si>
  <si>
    <t xml:space="preserve">$-   </t>
  </si>
  <si>
    <t xml:space="preserve"> $11,925.00 </t>
  </si>
  <si>
    <t xml:space="preserve"> $-   </t>
  </si>
  <si>
    <t xml:space="preserve"> $48,475.00 </t>
  </si>
  <si>
    <t xml:space="preserve"> $1,192.50 </t>
  </si>
  <si>
    <t xml:space="preserve"> $103,350.00 </t>
  </si>
  <si>
    <t xml:space="preserve"> $5,578.50 </t>
  </si>
  <si>
    <t xml:space="preserve"> $197,300.00 </t>
  </si>
  <si>
    <t xml:space="preserve"> $17,651.00 </t>
  </si>
  <si>
    <t xml:space="preserve"> $250,525.00 </t>
  </si>
  <si>
    <t xml:space="preserve"> $40,199.00 </t>
  </si>
  <si>
    <t xml:space="preserve"> $626,350.00 </t>
  </si>
  <si>
    <t xml:space="preserve"> $57,231.00 </t>
  </si>
  <si>
    <t xml:space="preserve"> $2,000,000.00 </t>
  </si>
  <si>
    <t xml:space="preserve"> $188,769.75 </t>
  </si>
  <si>
    <t>Taxable Income</t>
  </si>
  <si>
    <t>Selected Bracket</t>
  </si>
  <si>
    <t xml:space="preserve"> $23,850.00 </t>
  </si>
  <si>
    <t xml:space="preserve"> $96,950.00 </t>
  </si>
  <si>
    <t xml:space="preserve"> $2,385.00 </t>
  </si>
  <si>
    <t xml:space="preserve"> $206,700.00 </t>
  </si>
  <si>
    <t xml:space="preserve"> $11,157.00 </t>
  </si>
  <si>
    <t xml:space="preserve"> $394,600.00 </t>
  </si>
  <si>
    <t xml:space="preserve"> $35,302.00 </t>
  </si>
  <si>
    <t xml:space="preserve"> $501,050.00 </t>
  </si>
  <si>
    <t xml:space="preserve"> $80,383.00 </t>
  </si>
  <si>
    <t xml:space="preserve"> $751,600.00 </t>
  </si>
  <si>
    <t xml:space="preserve"> $111,462.00 </t>
  </si>
  <si>
    <t xml:space="preserve"> $202,154.50 </t>
  </si>
  <si>
    <t xml:space="preserve"> $17,000.00 </t>
  </si>
  <si>
    <t xml:space="preserve"> $64,850.00 </t>
  </si>
  <si>
    <t xml:space="preserve"> $1,700.00 </t>
  </si>
  <si>
    <t xml:space="preserve"> $7,442.00 </t>
  </si>
  <si>
    <t xml:space="preserve"> $15,912.00 </t>
  </si>
  <si>
    <t xml:space="preserve"> $250,500.00 </t>
  </si>
  <si>
    <t xml:space="preserve"> $38,460.00 </t>
  </si>
  <si>
    <t xml:space="preserve"> $55,484.00 </t>
  </si>
  <si>
    <t xml:space="preserve"> $187,031.50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</si>
</sst>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.00_);\(&quot;$&quot;#,##0.00\)"/>
    <numFmt numFmtId="166" formatCode="yyyy\-mm\-dd"/>
    <numFmt numFmtId="167" formatCode="yyyy\-mm\-dd;@"/>
  </numFmts>
  <fonts count="2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22"/>
      <color rgb="FF4C1130"/>
      <name val="Century Gothic"/>
      <family val="1"/>
    </font>
    <font>
      <b/>
      <sz val="10"/>
      <color rgb="FF204559"/>
      <name val="Helvetica Neue"/>
      <family val="2"/>
    </font>
    <font>
      <b/>
      <sz val="10"/>
      <color theme="1"/>
      <name val="Helvetica Neue"/>
      <family val="2"/>
    </font>
    <font>
      <sz val="12"/>
      <color theme="1"/>
      <name val="Century Gothic"/>
      <family val="1"/>
    </font>
    <font>
      <b/>
      <sz val="16"/>
      <color rgb="FF000000"/>
      <name val="Helvetica Neue"/>
      <family val="2"/>
    </font>
    <font>
      <b/>
      <sz val="9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theme="1"/>
      <name val="Century Gothic"/>
      <family val="1"/>
    </font>
    <font>
      <b/>
      <sz val="9"/>
      <color theme="1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Century Gothic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Calibri"/>
      <family val="1"/>
      <scheme val="minor"/>
    </font>
    <font>
      <b/>
      <sz val="22"/>
      <color theme="1" tint="0.34998626667073579"/>
      <name val="Helvetica Neue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3"/>
    <xf numFmtId="0" fontId="17" fillId="0" borderId="3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9" fontId="8" fillId="3" borderId="7" xfId="0" applyNumberFormat="1" applyFont="1" applyFill="1" applyBorder="1" applyAlignment="1">
      <alignment horizontal="left" vertical="center" wrapText="1"/>
    </xf>
    <xf numFmtId="0" fontId="11" fillId="0" borderId="0" xfId="0" applyFont="1"/>
    <xf numFmtId="49" fontId="12" fillId="3" borderId="7" xfId="0" applyNumberFormat="1" applyFont="1" applyFill="1" applyBorder="1" applyAlignment="1">
      <alignment horizontal="left" vertical="center" wrapText="1"/>
    </xf>
    <xf numFmtId="165" fontId="13" fillId="4" borderId="7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/>
    <xf numFmtId="164" fontId="14" fillId="4" borderId="2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0" borderId="0" xfId="0" applyFont="1"/>
    <xf numFmtId="166" fontId="16" fillId="0" borderId="0" xfId="0" applyNumberFormat="1" applyFont="1"/>
    <xf numFmtId="9" fontId="16" fillId="0" borderId="0" xfId="0" applyNumberFormat="1" applyFont="1"/>
    <xf numFmtId="164" fontId="16" fillId="0" borderId="0" xfId="0" applyNumberFormat="1" applyFont="1"/>
    <xf numFmtId="49" fontId="12" fillId="3" borderId="4" xfId="0" applyNumberFormat="1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left"/>
    </xf>
    <xf numFmtId="10" fontId="9" fillId="4" borderId="4" xfId="0" applyNumberFormat="1" applyFont="1" applyFill="1" applyBorder="1" applyAlignment="1">
      <alignment horizontal="left" vertical="center" wrapText="1"/>
    </xf>
    <xf numFmtId="0" fontId="2" fillId="0" borderId="6" xfId="0" applyFont="1" applyBorder="1"/>
    <xf numFmtId="164" fontId="9" fillId="4" borderId="4" xfId="0" applyNumberFormat="1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49" fontId="9" fillId="4" borderId="4" xfId="0" applyNumberFormat="1" applyFont="1" applyFill="1" applyBorder="1" applyAlignment="1">
      <alignment horizontal="left" vertical="center" wrapText="1"/>
    </xf>
    <xf numFmtId="167" fontId="9" fillId="4" borderId="4" xfId="0" applyNumberFormat="1" applyFont="1" applyFill="1" applyBorder="1" applyAlignment="1">
      <alignment horizontal="left" vertical="center" wrapText="1"/>
    </xf>
    <xf numFmtId="167" fontId="2" fillId="0" borderId="6" xfId="0" applyNumberFormat="1" applyFont="1" applyBorder="1"/>
    <xf numFmtId="1" fontId="9" fillId="4" borderId="4" xfId="0" applyNumberFormat="1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" fillId="0" borderId="9" xfId="0" applyFont="1" applyBorder="1"/>
    <xf numFmtId="39" fontId="13" fillId="4" borderId="4" xfId="0" applyNumberFormat="1" applyFont="1" applyFill="1" applyBorder="1" applyAlignment="1">
      <alignment horizontal="left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/>
    <xf numFmtId="0" fontId="19" fillId="0" borderId="3" xfId="0" applyFont="1" applyBorder="1"/>
    <xf numFmtId="9" fontId="19" fillId="0" borderId="3" xfId="0" applyNumberFormat="1" applyFont="1" applyBorder="1"/>
  </cellXfs>
  <cellStyles count="3">
    <cellStyle name="Hyperlink 2" xfId="2" xr:uid="{1D591146-2AAA-465B-B66E-8466654513BE}"/>
    <cellStyle name="Normal" xfId="0" builtinId="0"/>
    <cellStyle name="Normal 2 2" xfId="1" xr:uid="{5652DA2B-4EDF-4CA4-BA4E-8C7405C802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14141"/>
    <pageSetUpPr fitToPage="1"/>
  </sheetPr>
  <dimension ref="A1:Z998"/>
  <sheetViews>
    <sheetView showGridLines="0" workbookViewId="0">
      <selection activeCell="G10" sqref="G10:G14"/>
    </sheetView>
  </sheetViews>
  <sheetFormatPr baseColWidth="10" defaultColWidth="11.1640625" defaultRowHeight="15" customHeight="1" x14ac:dyDescent="0.2"/>
  <cols>
    <col min="1" max="1" width="4.5" customWidth="1"/>
    <col min="2" max="7" width="20.6640625" customWidth="1"/>
    <col min="8" max="26" width="10.6640625" customWidth="1"/>
  </cols>
  <sheetData>
    <row r="1" spans="1:26" ht="41.25" customHeight="1" x14ac:dyDescent="0.3">
      <c r="A1" s="1"/>
      <c r="B1" s="19" t="s">
        <v>35</v>
      </c>
      <c r="C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.5" customHeight="1" x14ac:dyDescent="0.2">
      <c r="A2" s="4"/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4"/>
      <c r="B3" s="23" t="s">
        <v>0</v>
      </c>
      <c r="C3" s="24"/>
      <c r="D3" s="24"/>
      <c r="E3" s="24"/>
      <c r="F3" s="24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2">
      <c r="A4" s="4"/>
      <c r="B4" s="5" t="s">
        <v>1</v>
      </c>
      <c r="C4" s="25"/>
      <c r="D4" s="21"/>
      <c r="E4" s="5" t="s">
        <v>2</v>
      </c>
      <c r="F4" s="25"/>
      <c r="G4" s="2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">
      <c r="A5" s="4"/>
      <c r="B5" s="5" t="s">
        <v>3</v>
      </c>
      <c r="C5" s="26"/>
      <c r="D5" s="27"/>
      <c r="E5" s="5" t="s">
        <v>4</v>
      </c>
      <c r="F5" s="28"/>
      <c r="G5" s="2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.75" customHeight="1" x14ac:dyDescent="0.2">
      <c r="A6" s="4"/>
      <c r="B6" s="5" t="s">
        <v>5</v>
      </c>
      <c r="C6" s="25"/>
      <c r="D6" s="21"/>
      <c r="E6" s="5" t="s">
        <v>6</v>
      </c>
      <c r="F6" s="20"/>
      <c r="G6" s="2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4"/>
      <c r="B7" s="5" t="s">
        <v>7</v>
      </c>
      <c r="C7" s="25"/>
      <c r="D7" s="21"/>
      <c r="E7" s="5" t="s">
        <v>8</v>
      </c>
      <c r="F7" s="22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5" customHeight="1" x14ac:dyDescent="0.2">
      <c r="A8" s="4"/>
      <c r="B8" s="2"/>
      <c r="C8" s="2"/>
      <c r="D8" s="2"/>
      <c r="E8" s="2"/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 x14ac:dyDescent="0.2">
      <c r="A9" s="4"/>
      <c r="B9" s="29" t="s">
        <v>9</v>
      </c>
      <c r="C9" s="21"/>
      <c r="D9" s="29" t="s">
        <v>10</v>
      </c>
      <c r="E9" s="21"/>
      <c r="F9" s="29" t="s">
        <v>11</v>
      </c>
      <c r="G9" s="3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1.75" customHeight="1" x14ac:dyDescent="0.2">
      <c r="A10" s="6"/>
      <c r="B10" s="7" t="s">
        <v>12</v>
      </c>
      <c r="C10" s="8"/>
      <c r="D10" s="7" t="s">
        <v>13</v>
      </c>
      <c r="E10" s="8"/>
      <c r="F10" s="17" t="s">
        <v>12</v>
      </c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1.75" customHeight="1" x14ac:dyDescent="0.2">
      <c r="A11" s="6"/>
      <c r="B11" s="7" t="s">
        <v>14</v>
      </c>
      <c r="C11" s="8"/>
      <c r="D11" s="7" t="s">
        <v>15</v>
      </c>
      <c r="E11" s="8"/>
      <c r="F11" s="17" t="s">
        <v>14</v>
      </c>
      <c r="G11" s="1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1.75" customHeight="1" x14ac:dyDescent="0.2">
      <c r="A12" s="6"/>
      <c r="B12" s="7" t="s">
        <v>16</v>
      </c>
      <c r="C12" s="8"/>
      <c r="D12" s="7" t="s">
        <v>17</v>
      </c>
      <c r="E12" s="8"/>
      <c r="F12" s="17" t="s">
        <v>13</v>
      </c>
      <c r="G12" s="1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5" customHeight="1" x14ac:dyDescent="0.2">
      <c r="A13" s="6"/>
      <c r="B13" s="7" t="s">
        <v>18</v>
      </c>
      <c r="C13" s="8"/>
      <c r="D13" s="7" t="s">
        <v>19</v>
      </c>
      <c r="E13" s="8"/>
      <c r="F13" s="17" t="s">
        <v>20</v>
      </c>
      <c r="G13" s="1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2">
      <c r="A14" s="6"/>
      <c r="B14" s="7" t="s">
        <v>21</v>
      </c>
      <c r="C14" s="8"/>
      <c r="D14" s="7" t="s">
        <v>22</v>
      </c>
      <c r="E14" s="8"/>
      <c r="F14" s="17" t="s">
        <v>15</v>
      </c>
      <c r="G14" s="1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0.5" customHeight="1" x14ac:dyDescent="0.2">
      <c r="A15" s="4"/>
      <c r="B15" s="2"/>
      <c r="C15" s="2"/>
      <c r="D15" s="2"/>
      <c r="E15" s="2"/>
      <c r="F15" s="2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 x14ac:dyDescent="0.2">
      <c r="A16" s="4"/>
      <c r="B16" s="29" t="s">
        <v>23</v>
      </c>
      <c r="C16" s="24"/>
      <c r="D16" s="24"/>
      <c r="E16" s="24"/>
      <c r="F16" s="24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.75" customHeight="1" x14ac:dyDescent="0.2">
      <c r="A17" s="6"/>
      <c r="B17" s="7" t="s">
        <v>24</v>
      </c>
      <c r="C17" s="31" t="s">
        <v>25</v>
      </c>
      <c r="D17" s="21"/>
      <c r="E17" s="7" t="s">
        <v>26</v>
      </c>
      <c r="F17" s="31" t="s">
        <v>27</v>
      </c>
      <c r="G17" s="2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1.75" customHeight="1" x14ac:dyDescent="0.2">
      <c r="A18" s="6"/>
      <c r="B18" s="7" t="s">
        <v>28</v>
      </c>
      <c r="C18" s="31" t="s">
        <v>29</v>
      </c>
      <c r="D18" s="21"/>
      <c r="E18" s="7" t="s">
        <v>30</v>
      </c>
      <c r="F18" s="31" t="s">
        <v>31</v>
      </c>
      <c r="G18" s="2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0.5" customHeight="1" x14ac:dyDescent="0.2">
      <c r="A19" s="4"/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 x14ac:dyDescent="0.2">
      <c r="A20" s="4"/>
      <c r="B20" s="29" t="s">
        <v>32</v>
      </c>
      <c r="C20" s="21"/>
      <c r="D20" s="29" t="s">
        <v>33</v>
      </c>
      <c r="E20" s="21"/>
      <c r="F20" s="29" t="s">
        <v>34</v>
      </c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.75" customHeight="1" x14ac:dyDescent="0.2">
      <c r="A21" s="6"/>
      <c r="B21" s="32">
        <f>SUM(C10:C14)</f>
        <v>0</v>
      </c>
      <c r="C21" s="33"/>
      <c r="D21" s="32">
        <f>SUM(E10:E14)</f>
        <v>0</v>
      </c>
      <c r="E21" s="33"/>
      <c r="F21" s="32">
        <f>B21-D21</f>
        <v>0</v>
      </c>
      <c r="G21" s="3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0.5" customHeight="1" x14ac:dyDescent="0.2">
      <c r="A22" s="9"/>
      <c r="B22" s="10"/>
      <c r="C22" s="10"/>
      <c r="D22" s="10"/>
      <c r="E22" s="10"/>
      <c r="F22" s="10"/>
      <c r="G22" s="1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0.5" customHeight="1" x14ac:dyDescent="0.2">
      <c r="A23" s="4"/>
      <c r="B23" s="11"/>
      <c r="C23" s="11"/>
      <c r="D23" s="11"/>
      <c r="E23" s="11"/>
      <c r="F23" s="11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12"/>
      <c r="E27" s="12"/>
      <c r="F27" s="12"/>
      <c r="G27" s="12"/>
      <c r="H27" s="12"/>
      <c r="I27" s="1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F28" s="13"/>
      <c r="I28" s="1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E29" s="14"/>
      <c r="F29" s="13"/>
      <c r="I29" s="1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F30" s="13"/>
      <c r="H30" s="15"/>
      <c r="I30" s="1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F31" s="13"/>
      <c r="H31" s="16"/>
      <c r="I31" s="1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E36" s="13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E37" s="16"/>
      <c r="F37" s="1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E38" s="16"/>
      <c r="F38" s="1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E39" s="16"/>
      <c r="F39" s="1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E40" s="13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E41" s="16"/>
      <c r="F41" s="1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E42" s="16"/>
      <c r="F42" s="1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E43" s="16"/>
      <c r="F43" s="1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E44" s="16"/>
      <c r="F44" s="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E45" s="16"/>
      <c r="F45" s="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E46" s="16"/>
      <c r="F46" s="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E47" s="16"/>
      <c r="F47" s="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12"/>
      <c r="E58" s="12"/>
      <c r="F58" s="12"/>
      <c r="G58" s="12"/>
      <c r="H58" s="1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E59" s="16"/>
      <c r="G59" s="1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E60" s="16"/>
      <c r="G60" s="1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E61" s="16"/>
      <c r="G61" s="1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E62" s="16"/>
      <c r="G62" s="1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E63" s="16"/>
      <c r="G63" s="1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E64" s="13"/>
      <c r="G64" s="1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G65" s="1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G66" s="1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G67" s="1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F68" s="13"/>
      <c r="G68" s="1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E69" s="16"/>
      <c r="F69" s="13"/>
      <c r="G69" s="1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E70" s="16"/>
      <c r="F70" s="13"/>
      <c r="G70" s="1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E71" s="16"/>
      <c r="F71" s="13"/>
      <c r="G71" s="1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13"/>
      <c r="E72" s="13"/>
      <c r="F72" s="13"/>
      <c r="G72" s="1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3">
    <mergeCell ref="F20:G20"/>
    <mergeCell ref="F21:G21"/>
    <mergeCell ref="D21:E21"/>
    <mergeCell ref="B21:C21"/>
    <mergeCell ref="D20:E20"/>
    <mergeCell ref="B20:C20"/>
    <mergeCell ref="F9:G9"/>
    <mergeCell ref="F17:G17"/>
    <mergeCell ref="F18:G18"/>
    <mergeCell ref="C18:D18"/>
    <mergeCell ref="C17:D17"/>
    <mergeCell ref="B16:G16"/>
    <mergeCell ref="D9:E9"/>
    <mergeCell ref="B9:C9"/>
    <mergeCell ref="F6:G6"/>
    <mergeCell ref="F7:G7"/>
    <mergeCell ref="B3:G3"/>
    <mergeCell ref="C4:D4"/>
    <mergeCell ref="F4:G4"/>
    <mergeCell ref="C5:D5"/>
    <mergeCell ref="C6:D6"/>
    <mergeCell ref="C7:D7"/>
    <mergeCell ref="F5:G5"/>
  </mergeCells>
  <pageMargins left="0.25" right="0.2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8E31-453F-084A-B9B2-E552A50738FD}">
  <dimension ref="A1:E10"/>
  <sheetViews>
    <sheetView workbookViewId="0">
      <selection activeCell="E2" sqref="E2:E8"/>
    </sheetView>
  </sheetViews>
  <sheetFormatPr baseColWidth="10" defaultRowHeight="16" x14ac:dyDescent="0.2"/>
  <sheetData>
    <row r="1" spans="1:5" x14ac:dyDescent="0.2">
      <c r="A1" s="34" t="s">
        <v>36</v>
      </c>
      <c r="B1" s="34" t="s">
        <v>37</v>
      </c>
      <c r="C1" s="34" t="s">
        <v>38</v>
      </c>
      <c r="D1" s="34" t="s">
        <v>39</v>
      </c>
      <c r="E1" s="34" t="s">
        <v>40</v>
      </c>
    </row>
    <row r="2" spans="1:5" x14ac:dyDescent="0.2">
      <c r="A2" s="34" t="s">
        <v>41</v>
      </c>
      <c r="B2" s="34" t="s">
        <v>42</v>
      </c>
      <c r="C2" s="34" t="s">
        <v>43</v>
      </c>
      <c r="D2" s="35">
        <v>0.1</v>
      </c>
      <c r="E2" s="34"/>
    </row>
    <row r="3" spans="1:5" x14ac:dyDescent="0.2">
      <c r="A3" s="34" t="s">
        <v>42</v>
      </c>
      <c r="B3" s="34" t="s">
        <v>44</v>
      </c>
      <c r="C3" s="34" t="s">
        <v>45</v>
      </c>
      <c r="D3" s="35">
        <v>0.12</v>
      </c>
      <c r="E3" s="34"/>
    </row>
    <row r="4" spans="1:5" x14ac:dyDescent="0.2">
      <c r="A4" s="34" t="s">
        <v>44</v>
      </c>
      <c r="B4" s="34" t="s">
        <v>46</v>
      </c>
      <c r="C4" s="34" t="s">
        <v>47</v>
      </c>
      <c r="D4" s="35">
        <v>0.22</v>
      </c>
      <c r="E4" s="34"/>
    </row>
    <row r="5" spans="1:5" x14ac:dyDescent="0.2">
      <c r="A5" s="34" t="s">
        <v>46</v>
      </c>
      <c r="B5" s="34" t="s">
        <v>48</v>
      </c>
      <c r="C5" s="34" t="s">
        <v>49</v>
      </c>
      <c r="D5" s="35">
        <v>0.24</v>
      </c>
      <c r="E5" s="34"/>
    </row>
    <row r="6" spans="1:5" x14ac:dyDescent="0.2">
      <c r="A6" s="34" t="s">
        <v>48</v>
      </c>
      <c r="B6" s="34" t="s">
        <v>50</v>
      </c>
      <c r="C6" s="34" t="s">
        <v>51</v>
      </c>
      <c r="D6" s="35">
        <v>0.32</v>
      </c>
      <c r="E6" s="34"/>
    </row>
    <row r="7" spans="1:5" x14ac:dyDescent="0.2">
      <c r="A7" s="34" t="s">
        <v>50</v>
      </c>
      <c r="B7" s="34" t="s">
        <v>52</v>
      </c>
      <c r="C7" s="34" t="s">
        <v>53</v>
      </c>
      <c r="D7" s="35">
        <v>0.35</v>
      </c>
      <c r="E7" s="34"/>
    </row>
    <row r="8" spans="1:5" x14ac:dyDescent="0.2">
      <c r="A8" s="34" t="s">
        <v>52</v>
      </c>
      <c r="B8" s="34" t="s">
        <v>54</v>
      </c>
      <c r="C8" s="34" t="s">
        <v>55</v>
      </c>
      <c r="D8" s="35">
        <v>0.37</v>
      </c>
      <c r="E8" s="34"/>
    </row>
    <row r="9" spans="1:5" x14ac:dyDescent="0.2">
      <c r="A9" s="34"/>
      <c r="B9" s="34"/>
      <c r="C9" s="34"/>
      <c r="D9" s="34"/>
      <c r="E9" s="34"/>
    </row>
    <row r="10" spans="1:5" x14ac:dyDescent="0.2">
      <c r="A10" s="34" t="s">
        <v>56</v>
      </c>
      <c r="B10" s="34"/>
      <c r="C10" s="34" t="s">
        <v>57</v>
      </c>
      <c r="D10" s="34"/>
      <c r="E10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71DC-5498-0348-AC8B-DB717AE52DC8}">
  <dimension ref="A1:E10"/>
  <sheetViews>
    <sheetView workbookViewId="0">
      <selection activeCell="E2" sqref="E2:E8"/>
    </sheetView>
  </sheetViews>
  <sheetFormatPr baseColWidth="10" defaultRowHeight="16" x14ac:dyDescent="0.2"/>
  <sheetData>
    <row r="1" spans="1:5" x14ac:dyDescent="0.2">
      <c r="A1" s="34" t="s">
        <v>36</v>
      </c>
      <c r="B1" s="34" t="s">
        <v>37</v>
      </c>
      <c r="C1" s="34" t="s">
        <v>38</v>
      </c>
      <c r="D1" s="34" t="s">
        <v>39</v>
      </c>
      <c r="E1" s="34" t="s">
        <v>40</v>
      </c>
    </row>
    <row r="2" spans="1:5" x14ac:dyDescent="0.2">
      <c r="A2" s="34" t="s">
        <v>41</v>
      </c>
      <c r="B2" s="34" t="s">
        <v>58</v>
      </c>
      <c r="C2" s="34" t="s">
        <v>43</v>
      </c>
      <c r="D2" s="35">
        <v>0.1</v>
      </c>
      <c r="E2" s="34"/>
    </row>
    <row r="3" spans="1:5" x14ac:dyDescent="0.2">
      <c r="A3" s="34" t="s">
        <v>58</v>
      </c>
      <c r="B3" s="34" t="s">
        <v>59</v>
      </c>
      <c r="C3" s="34" t="s">
        <v>60</v>
      </c>
      <c r="D3" s="35">
        <v>0.12</v>
      </c>
      <c r="E3" s="34"/>
    </row>
    <row r="4" spans="1:5" x14ac:dyDescent="0.2">
      <c r="A4" s="34" t="s">
        <v>59</v>
      </c>
      <c r="B4" s="34" t="s">
        <v>61</v>
      </c>
      <c r="C4" s="34" t="s">
        <v>62</v>
      </c>
      <c r="D4" s="35">
        <v>0.22</v>
      </c>
      <c r="E4" s="34"/>
    </row>
    <row r="5" spans="1:5" x14ac:dyDescent="0.2">
      <c r="A5" s="34" t="s">
        <v>61</v>
      </c>
      <c r="B5" s="34" t="s">
        <v>63</v>
      </c>
      <c r="C5" s="34" t="s">
        <v>64</v>
      </c>
      <c r="D5" s="35">
        <v>0.24</v>
      </c>
      <c r="E5" s="34"/>
    </row>
    <row r="6" spans="1:5" x14ac:dyDescent="0.2">
      <c r="A6" s="34" t="s">
        <v>63</v>
      </c>
      <c r="B6" s="34" t="s">
        <v>65</v>
      </c>
      <c r="C6" s="34" t="s">
        <v>66</v>
      </c>
      <c r="D6" s="35">
        <v>0.32</v>
      </c>
      <c r="E6" s="34"/>
    </row>
    <row r="7" spans="1:5" x14ac:dyDescent="0.2">
      <c r="A7" s="34" t="s">
        <v>65</v>
      </c>
      <c r="B7" s="34" t="s">
        <v>67</v>
      </c>
      <c r="C7" s="34" t="s">
        <v>68</v>
      </c>
      <c r="D7" s="35">
        <v>0.35</v>
      </c>
      <c r="E7" s="34"/>
    </row>
    <row r="8" spans="1:5" x14ac:dyDescent="0.2">
      <c r="A8" s="34" t="s">
        <v>67</v>
      </c>
      <c r="B8" s="34" t="s">
        <v>54</v>
      </c>
      <c r="C8" s="34" t="s">
        <v>69</v>
      </c>
      <c r="D8" s="35">
        <v>0.37</v>
      </c>
      <c r="E8" s="34"/>
    </row>
    <row r="9" spans="1:5" x14ac:dyDescent="0.2">
      <c r="A9" s="34"/>
      <c r="B9" s="34"/>
      <c r="C9" s="34"/>
      <c r="D9" s="34"/>
      <c r="E9" s="34"/>
    </row>
    <row r="10" spans="1:5" x14ac:dyDescent="0.2">
      <c r="A10" s="34" t="s">
        <v>56</v>
      </c>
      <c r="B10" s="34"/>
      <c r="C10" s="34" t="s">
        <v>57</v>
      </c>
      <c r="D10" s="34"/>
      <c r="E10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A2C9-3FB4-2340-83C3-9902216D7274}">
  <dimension ref="A1:E10"/>
  <sheetViews>
    <sheetView tabSelected="1" workbookViewId="0">
      <selection activeCell="D10" sqref="D10"/>
    </sheetView>
  </sheetViews>
  <sheetFormatPr baseColWidth="10" defaultRowHeight="16" x14ac:dyDescent="0.2"/>
  <sheetData>
    <row r="1" spans="1:5" x14ac:dyDescent="0.2">
      <c r="A1" s="34" t="s">
        <v>36</v>
      </c>
      <c r="B1" s="34" t="s">
        <v>37</v>
      </c>
      <c r="C1" s="34" t="s">
        <v>38</v>
      </c>
      <c r="D1" s="34" t="s">
        <v>39</v>
      </c>
      <c r="E1" s="34" t="s">
        <v>40</v>
      </c>
    </row>
    <row r="2" spans="1:5" x14ac:dyDescent="0.2">
      <c r="A2" s="34" t="s">
        <v>41</v>
      </c>
      <c r="B2" s="34" t="s">
        <v>70</v>
      </c>
      <c r="C2" s="34" t="s">
        <v>43</v>
      </c>
      <c r="D2" s="35">
        <v>0.1</v>
      </c>
      <c r="E2" s="34"/>
    </row>
    <row r="3" spans="1:5" x14ac:dyDescent="0.2">
      <c r="A3" s="34" t="s">
        <v>70</v>
      </c>
      <c r="B3" s="34" t="s">
        <v>71</v>
      </c>
      <c r="C3" s="34" t="s">
        <v>72</v>
      </c>
      <c r="D3" s="35">
        <v>0.12</v>
      </c>
      <c r="E3" s="34"/>
    </row>
    <row r="4" spans="1:5" x14ac:dyDescent="0.2">
      <c r="A4" s="34" t="s">
        <v>71</v>
      </c>
      <c r="B4" s="34" t="s">
        <v>46</v>
      </c>
      <c r="C4" s="34" t="s">
        <v>73</v>
      </c>
      <c r="D4" s="35">
        <v>0.22</v>
      </c>
      <c r="E4" s="34"/>
    </row>
    <row r="5" spans="1:5" x14ac:dyDescent="0.2">
      <c r="A5" s="34" t="s">
        <v>46</v>
      </c>
      <c r="B5" s="34" t="s">
        <v>48</v>
      </c>
      <c r="C5" s="34" t="s">
        <v>74</v>
      </c>
      <c r="D5" s="35">
        <v>0.24</v>
      </c>
      <c r="E5" s="34"/>
    </row>
    <row r="6" spans="1:5" x14ac:dyDescent="0.2">
      <c r="A6" s="34" t="s">
        <v>48</v>
      </c>
      <c r="B6" s="34" t="s">
        <v>75</v>
      </c>
      <c r="C6" s="34" t="s">
        <v>76</v>
      </c>
      <c r="D6" s="35">
        <v>0.32</v>
      </c>
      <c r="E6" s="34"/>
    </row>
    <row r="7" spans="1:5" x14ac:dyDescent="0.2">
      <c r="A7" s="34" t="s">
        <v>75</v>
      </c>
      <c r="B7" s="34" t="s">
        <v>52</v>
      </c>
      <c r="C7" s="34" t="s">
        <v>77</v>
      </c>
      <c r="D7" s="35">
        <v>0.35</v>
      </c>
      <c r="E7" s="34"/>
    </row>
    <row r="8" spans="1:5" x14ac:dyDescent="0.2">
      <c r="A8" s="34" t="s">
        <v>52</v>
      </c>
      <c r="B8" s="34" t="s">
        <v>54</v>
      </c>
      <c r="C8" s="34" t="s">
        <v>78</v>
      </c>
      <c r="D8" s="35">
        <v>0.37</v>
      </c>
      <c r="E8" s="34"/>
    </row>
    <row r="9" spans="1:5" x14ac:dyDescent="0.2">
      <c r="A9" s="34"/>
      <c r="B9" s="34"/>
      <c r="C9" s="34"/>
      <c r="D9" s="34"/>
      <c r="E9" s="34"/>
    </row>
    <row r="10" spans="1:5" x14ac:dyDescent="0.2">
      <c r="A10" s="34" t="s">
        <v>56</v>
      </c>
      <c r="B10" s="34"/>
      <c r="C10" s="34" t="s">
        <v>57</v>
      </c>
      <c r="D10" s="34"/>
      <c r="E1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7"/>
  <sheetViews>
    <sheetView workbookViewId="0">
      <selection activeCell="A1" sqref="A1"/>
    </sheetView>
  </sheetViews>
  <sheetFormatPr baseColWidth="10" defaultRowHeight="16" x14ac:dyDescent="0.2"/>
  <sheetData>
    <row r="1" spans="1:9" x14ac:dyDescent="0.2">
      <c r="A1" t="inlineStr">
        <is>
          <t>EmployeeID</t>
        </is>
      </c>
      <c r="B1" t="inlineStr">
        <is>
          <t>EmployeeName</t>
        </is>
      </c>
      <c r="C1" t="inlineStr">
        <is>
          <t>FilingStatus</t>
        </is>
      </c>
      <c r="D1" t="inlineStr">
        <is>
          <t>StandardDeduction</t>
        </is>
      </c>
      <c r="E1" t="inlineStr">
        <is>
          <t>GrossPay</t>
        </is>
      </c>
      <c r="F1" t="inlineStr">
        <is>
          <t>PreTaxBenefits</t>
        </is>
      </c>
      <c r="G1" t="inlineStr">
        <is>
          <t>AdditionalWithholding</t>
        </is>
      </c>
      <c r="H1" t="inlineStr">
        <is>
          <t>State</t>
        </is>
      </c>
      <c r="I1" t="inlineStr">
        <is>
          <t>StateRate</t>
        </is>
      </c>
    </row>
    <row r="2" spans="1:9" x14ac:dyDescent="0.2">
      <c r="A2" t="inlineStr">
        <is>
          <t>CF01</t>
        </is>
      </c>
      <c r="B2" t="inlineStr">
        <is>
          <t>Sierra Lopez</t>
        </is>
      </c>
      <c r="C2" t="inlineStr">
        <is>
          <t>Single</t>
        </is>
      </c>
      <c r="D2">
        <v>13850</v>
      </c>
      <c r="E2">
        <v>1480</v>
      </c>
      <c r="F2">
        <v>65</v>
      </c>
      <c r="G2">
        <v>15</v>
      </c>
      <c r="H2" t="inlineStr">
        <is>
          <t>CA</t>
        </is>
      </c>
      <c r="I2">
        <v>0.045</v>
      </c>
    </row>
    <row r="3" spans="1:9" x14ac:dyDescent="0.2">
      <c r="A3" t="inlineStr">
        <is>
          <t>CF02</t>
        </is>
      </c>
      <c r="B3" t="inlineStr">
        <is>
          <t>Noah Patel</t>
        </is>
      </c>
      <c r="C3" t="inlineStr">
        <is>
          <t>Single</t>
        </is>
      </c>
      <c r="D3">
        <v>13850</v>
      </c>
      <c r="E3">
        <v>1220</v>
      </c>
      <c r="F3">
        <v>0</v>
      </c>
      <c r="G3">
        <v>0</v>
      </c>
      <c r="H3" t="inlineStr">
        <is>
          <t>CA</t>
        </is>
      </c>
      <c r="I3">
        <v>0.045</v>
      </c>
    </row>
    <row r="4" spans="1:9" x14ac:dyDescent="0.2">
      <c r="A4" t="inlineStr">
        <is>
          <t>BK01</t>
        </is>
      </c>
      <c r="B4" t="inlineStr">
        <is>
          <t>Milo Gaines</t>
        </is>
      </c>
      <c r="C4" t="inlineStr">
        <is>
          <t>Married</t>
        </is>
      </c>
      <c r="D4">
        <v>27700</v>
      </c>
      <c r="E4">
        <v>1675</v>
      </c>
      <c r="F4">
        <v>0</v>
      </c>
      <c r="G4">
        <v>20</v>
      </c>
      <c r="H4" t="inlineStr">
        <is>
          <t>WA</t>
        </is>
      </c>
      <c r="I4">
        <v>0</v>
      </c>
    </row>
    <row r="5" spans="1:9" x14ac:dyDescent="0.2">
      <c r="A5" t="inlineStr">
        <is>
          <t>MK02</t>
        </is>
      </c>
      <c r="B5" t="inlineStr">
        <is>
          <t>Hannah Reed</t>
        </is>
      </c>
      <c r="C5" t="inlineStr">
        <is>
          <t>HeadOfHousehold</t>
        </is>
      </c>
      <c r="D5">
        <v>20800</v>
      </c>
      <c r="E5">
        <v>1520</v>
      </c>
      <c r="F5">
        <v>40</v>
      </c>
      <c r="G5">
        <v>0</v>
      </c>
      <c r="H5" t="inlineStr">
        <is>
          <t>CA</t>
        </is>
      </c>
      <c r="I5">
        <v>0.045</v>
      </c>
    </row>
    <row r="6" spans="1:9" x14ac:dyDescent="0.2">
      <c r="A6" t="inlineStr">
        <is>
          <t>SV01</t>
        </is>
      </c>
      <c r="B6" t="inlineStr">
        <is>
          <t>Andre Phelps</t>
        </is>
      </c>
      <c r="C6" t="inlineStr">
        <is>
          <t>Single</t>
        </is>
      </c>
      <c r="D6">
        <v>13850</v>
      </c>
      <c r="E6">
        <v>930</v>
      </c>
      <c r="F6">
        <v>0</v>
      </c>
      <c r="G6">
        <v>0</v>
      </c>
      <c r="H6" t="inlineStr">
        <is>
          <t>OR</t>
        </is>
      </c>
      <c r="I6">
        <v>0.057</v>
      </c>
    </row>
    <row r="7" spans="1:9" x14ac:dyDescent="0.2">
      <c r="A7" t="inlineStr">
        <is>
          <t>MK04</t>
        </is>
      </c>
      <c r="B7" t="inlineStr">
        <is>
          <t>Nia Brooks</t>
        </is>
      </c>
      <c r="C7" t="inlineStr">
        <is>
          <t>Married</t>
        </is>
      </c>
      <c r="D7">
        <v>27700</v>
      </c>
      <c r="E7">
        <v>2010</v>
      </c>
      <c r="F7">
        <v>120</v>
      </c>
      <c r="G7">
        <v>25</v>
      </c>
      <c r="H7" t="inlineStr">
        <is>
          <t>CA</t>
        </is>
      </c>
      <c r="I7">
        <v>0.045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 Stub</vt:lpstr>
      <vt:lpstr>Single</vt:lpstr>
      <vt:lpstr>Married</vt:lpstr>
      <vt:lpstr>Head of Household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Bodanske</cp:lastModifiedBy>
  <dcterms:created xsi:type="dcterms:W3CDTF">2025-07-28T16:35:03Z</dcterms:created>
  <dcterms:modified xsi:type="dcterms:W3CDTF">2025-12-19T04:57:16Z</dcterms:modified>
</cp:coreProperties>
</file>