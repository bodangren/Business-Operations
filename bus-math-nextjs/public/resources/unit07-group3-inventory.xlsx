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BeginningInventory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MethodCompare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Recommendation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8A"/>
    </font>
    <font>
      <b val="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E2E8F0"/>
      </patternFill>
    </fill>
    <fill>
      <patternFill patternType="solid">
        <fgColor rgb="00EEF2FF"/>
      </patternFill>
    </fill>
    <fill>
      <patternFill patternType="solid">
        <fgColor rgb="00FEF3C7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66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3" borderId="1" pivotButton="0" quotePrefix="0" xfId="0"/>
    <xf numFmtId="166" fontId="0" fillId="3" borderId="1" pivotButton="0" quotePrefix="0" xfId="0"/>
    <xf numFmtId="2" fontId="0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COGS By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'MethodCompare'!D4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'MethodCompare'!$A$5:$A$8</f>
            </numRef>
          </cat>
          <val>
            <numRef>
              <f>'MethodCompare'!$D$5:$D$8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COGS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Days On Hand By Method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'MethodCompare'!J4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'MethodCompare'!$A$5:$A$8</f>
            </numRef>
          </cat>
          <val>
            <numRef>
              <f>'MethodCompare'!$J$5:$J$8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eginningInventoryTbl" displayName="BeginningInventoryTbl" ref="A4:I5" headerRowCount="1">
  <autoFilter ref="A4:I5"/>
  <tableColumns count="9">
    <tableColumn id="1" name="LotID"/>
    <tableColumn id="2" name="SKU"/>
    <tableColumn id="3" name="Item"/>
    <tableColumn id="4" name="ReceiptDate"/>
    <tableColumn id="5" name="Units"/>
    <tableColumn id="6" name="UnitCost"/>
    <tableColumn id="7" name="ExtendedCost"/>
    <tableColumn id="8" name="StorageNote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urchasesTbl" displayName="PurchasesTbl" ref="A4:I8" headerRowCount="1">
  <autoFilter ref="A4:I8"/>
  <tableColumns count="9">
    <tableColumn id="1" name="LotID"/>
    <tableColumn id="2" name="PO"/>
    <tableColumn id="3" name="SKU"/>
    <tableColumn id="4" name="ReceiptDate"/>
    <tableColumn id="5" name="Units"/>
    <tableColumn id="6" name="UnitCost"/>
    <tableColumn id="7" name="ExtendedCost"/>
    <tableColumn id="8" name="Vendor"/>
    <tableColumn id="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alesTbl" displayName="SalesTbl" ref="A4:G7" headerRowCount="1">
  <autoFilter ref="A4:G7"/>
  <tableColumns count="7">
    <tableColumn id="1" name="SaleID"/>
    <tableColumn id="2" name="SKU"/>
    <tableColumn id="3" name="SaleDate"/>
    <tableColumn id="4" name="UnitsSold"/>
    <tableColumn id="5" name="UnitPrice"/>
    <tableColumn id="6" name="Revenue"/>
    <tableColumn id="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pecificAssignTbl" displayName="SpecificAssignTbl" ref="A11:F20" headerRowCount="1">
  <autoFilter ref="A11:F20"/>
  <tableColumns count="6">
    <tableColumn id="1" name="SaleID"/>
    <tableColumn id="2" name="LotID"/>
    <tableColumn id="3" name="UnitsAssigned"/>
    <tableColumn id="4" name="UnitCost"/>
    <tableColumn id="5" name="ExtendedCost"/>
    <tableColumn id="6" name="WhyThisLo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thodCompareTbl" displayName="MethodCompareTbl" ref="A4:K8" headerRowCount="1">
  <autoFilter ref="A4:K8"/>
  <tableColumns count="11">
    <tableColumn id="1" name="Method"/>
    <tableColumn id="2" name="Units Sold"/>
    <tableColumn id="3" name="Revenue"/>
    <tableColumn id="4" name="COGS"/>
    <tableColumn id="5" name="Ending Inventory"/>
    <tableColumn id="6" name="Gross Margin $"/>
    <tableColumn id="7" name="Gross Margin %"/>
    <tableColumn id="8" name="Avg Inventory"/>
    <tableColumn id="9" name="Turnover"/>
    <tableColumn id="10" name="Days On Hand"/>
    <tableColumn id="11" name="Rea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95" customWidth="1" min="2" max="2"/>
    <col width="18" customWidth="1" min="3" max="3"/>
  </cols>
  <sheetData>
    <row r="1">
      <c r="A1" s="1" t="inlineStr">
        <is>
          <t>Unit 07 Group 3 - Accessory Hub Inventory Starter Workbook</t>
        </is>
      </c>
    </row>
    <row r="3">
      <c r="A3" s="2" t="inlineStr">
        <is>
          <t>Purpose</t>
        </is>
      </c>
      <c r="B3" s="3" t="inlineStr">
        <is>
          <t>This starter workbook extends the Lesson 07 rehearsal model. Use only Group 3's file and keep the sheet structure unchanged through Lessons 08-10.</t>
        </is>
      </c>
    </row>
    <row r="4">
      <c r="A4" s="2" t="inlineStr">
        <is>
          <t>Business</t>
        </is>
      </c>
      <c r="B4" s="3" t="inlineStr">
        <is>
          <t>BrightCart Accessories - high-volume USB charging hub inventory with mostly stable unit costs.</t>
        </is>
      </c>
    </row>
    <row r="5">
      <c r="A5" s="2" t="inlineStr">
        <is>
          <t>Question</t>
        </is>
      </c>
      <c r="B5" s="3" t="inlineStr">
        <is>
          <t>Which inventory method gives BrightCart the clearest recommendation when units are identical and costs stay in a narrow band?</t>
        </is>
      </c>
    </row>
    <row r="6">
      <c r="A6" s="2" t="inlineStr">
        <is>
          <t>Rehearsal Rule</t>
        </is>
      </c>
      <c r="B6" s="3" t="inlineStr">
        <is>
          <t>Group 3 owns this workbook. Continue this same file across Lessons 08-10 and do not switch to another group's data.</t>
        </is>
      </c>
    </row>
    <row r="8">
      <c r="A8" s="4" t="inlineStr">
        <is>
          <t>Workbook Map</t>
        </is>
      </c>
    </row>
    <row r="9">
      <c r="A9" s="5" t="inlineStr">
        <is>
          <t>ReadMe</t>
        </is>
      </c>
      <c r="B9" s="5" t="inlineStr">
        <is>
          <t>Business brief, workbook map, and project standard.</t>
        </is>
      </c>
    </row>
    <row r="10">
      <c r="A10" s="3" t="inlineStr">
        <is>
          <t>Inputs</t>
        </is>
      </c>
      <c r="B10" s="3" t="inlineStr">
        <is>
          <t>Shared controls plus top-level totals used across the workbook.</t>
        </is>
      </c>
    </row>
    <row r="11">
      <c r="A11" s="3" t="inlineStr">
        <is>
          <t>BeginningInventory</t>
        </is>
      </c>
      <c r="B11" s="3" t="inlineStr">
        <is>
          <t>Opening layer that starts goods available for sale.</t>
        </is>
      </c>
    </row>
    <row r="12">
      <c r="A12" s="3" t="inlineStr">
        <is>
          <t>Purchases</t>
        </is>
      </c>
      <c r="B12" s="3" t="inlineStr">
        <is>
          <t>Dated purchase layers with rising unit costs.</t>
        </is>
      </c>
    </row>
    <row r="13">
      <c r="A13" s="3" t="inlineStr">
        <is>
          <t>Sales</t>
        </is>
      </c>
      <c r="B13" s="3" t="inlineStr">
        <is>
          <t>Sales transactions plus the specific-ID assignment log.</t>
        </is>
      </c>
    </row>
    <row r="14">
      <c r="A14" s="3" t="inlineStr">
        <is>
          <t>Valuation</t>
        </is>
      </c>
      <c r="B14" s="3" t="inlineStr">
        <is>
          <t>Layer-by-layer FIFO, LIFO, Weighted Average, and Specific ID math.</t>
        </is>
      </c>
    </row>
    <row r="15">
      <c r="A15" s="3" t="inlineStr">
        <is>
          <t>MethodCompare</t>
        </is>
      </c>
      <c r="B15" s="3" t="inlineStr">
        <is>
          <t>Side-by-side COGS, ending inventory, gross margin, turnover, and days on hand.</t>
        </is>
      </c>
    </row>
    <row r="16">
      <c r="A16" s="3" t="inlineStr">
        <is>
          <t>Checks</t>
        </is>
      </c>
      <c r="B16" s="3" t="inlineStr">
        <is>
          <t>Validation flags for SKU completeness, costs, balance, and workbook readiness.</t>
        </is>
      </c>
    </row>
    <row r="17">
      <c r="A17" s="3" t="inlineStr">
        <is>
          <t>Dashboard</t>
        </is>
      </c>
      <c r="B17" s="3" t="inlineStr">
        <is>
          <t>Investor-facing KPI snapshot and method comparison charts.</t>
        </is>
      </c>
    </row>
    <row r="18">
      <c r="A18" s="3" t="inlineStr">
        <is>
          <t>Recommendation</t>
        </is>
      </c>
      <c r="B18" s="3" t="inlineStr">
        <is>
          <t>Claim + evidence + risk statement tied to workbook numbers.</t>
        </is>
      </c>
    </row>
    <row r="21">
      <c r="A21" s="4" t="inlineStr">
        <is>
          <t>Definition Of Done</t>
        </is>
      </c>
    </row>
    <row r="22">
      <c r="A22" s="3" t="inlineStr">
        <is>
          <t>-</t>
        </is>
      </c>
      <c r="B22" s="3" t="inlineStr">
        <is>
          <t>All four methods reconcile so COGS + Ending Inventory = GAFS.</t>
        </is>
      </c>
    </row>
    <row r="23">
      <c r="A23" s="3" t="inlineStr">
        <is>
          <t>-</t>
        </is>
      </c>
      <c r="B23" s="3" t="inlineStr">
        <is>
          <t>MethodCompare shows the tradeoff between profitability and turnover.</t>
        </is>
      </c>
    </row>
    <row r="24">
      <c r="A24" s="3" t="inlineStr">
        <is>
          <t>-</t>
        </is>
      </c>
      <c r="B24" s="3" t="inlineStr">
        <is>
          <t>Dashboard links the selected method to a clean KPI snapshot.</t>
        </is>
      </c>
    </row>
    <row r="25">
      <c r="A25" s="3" t="inlineStr">
        <is>
          <t>-</t>
        </is>
      </c>
      <c r="B25" s="3" t="inlineStr">
        <is>
          <t>Recommendation cites workbook numbers and names one risk or limitation.</t>
        </is>
      </c>
    </row>
    <row r="26">
      <c r="A26" s="3" t="inlineStr">
        <is>
          <t>-</t>
        </is>
      </c>
      <c r="B26" s="3" t="inlineStr">
        <is>
          <t>Checks sheet has no remaining action flags before peer audit.</t>
        </is>
      </c>
    </row>
  </sheetData>
  <mergeCells count="3">
    <mergeCell ref="A1:J1"/>
    <mergeCell ref="A8:C8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70" customWidth="1" min="3" max="3"/>
  </cols>
  <sheetData>
    <row r="1">
      <c r="A1" s="1" t="inlineStr">
        <is>
          <t>Controls And Shared Totals</t>
        </is>
      </c>
    </row>
    <row r="3">
      <c r="A3" s="4" t="inlineStr">
        <is>
          <t>Workbook Controls</t>
        </is>
      </c>
    </row>
    <row r="4">
      <c r="A4" s="5" t="inlineStr">
        <is>
          <t>Control</t>
        </is>
      </c>
      <c r="B4" s="5" t="inlineStr">
        <is>
          <t>Value</t>
        </is>
      </c>
      <c r="C4" s="5" t="inlineStr">
        <is>
          <t>Why It Matters</t>
        </is>
      </c>
    </row>
    <row r="5">
      <c r="A5" s="3" t="inlineStr">
        <is>
          <t>Selected Method</t>
        </is>
      </c>
      <c r="B5" s="6" t="inlineStr">
        <is>
          <t>Weighted Average</t>
        </is>
      </c>
      <c r="C5" s="3" t="inlineStr">
        <is>
          <t>Controls the dashboard snapshot and recommendation lens.</t>
        </is>
      </c>
    </row>
    <row r="6">
      <c r="A6" s="3" t="inlineStr">
        <is>
          <t>As Of Date</t>
        </is>
      </c>
      <c r="B6" s="7">
        <f>MAX(BeginningInventory!$D$5,Purchases!$D$5,Purchases!$D$6,Purchases!$D$7,Purchases!$D$8,Sales!$C$5,Sales!$C$6,Sales!$C$7)</f>
        <v/>
      </c>
      <c r="C6" s="3" t="inlineStr">
        <is>
          <t>Latest transaction date in the rehearsal dataset.</t>
        </is>
      </c>
    </row>
    <row r="7">
      <c r="A7" s="3" t="inlineStr">
        <is>
          <t>Total Units Sold</t>
        </is>
      </c>
      <c r="B7" s="8">
        <f>SUM(Sales!$D$5:$D$7)</f>
        <v/>
      </c>
      <c r="C7" s="3" t="inlineStr">
        <is>
          <t>Used by every valuation method.</t>
        </is>
      </c>
    </row>
    <row r="8">
      <c r="A8" s="3" t="inlineStr">
        <is>
          <t>Total Revenue</t>
        </is>
      </c>
      <c r="B8" s="7">
        <f>SUM(Sales!$F$5:$F$7)</f>
        <v/>
      </c>
      <c r="C8" s="3" t="inlineStr">
        <is>
          <t>Common revenue base for gross margin analysis.</t>
        </is>
      </c>
    </row>
    <row r="9">
      <c r="A9" s="3" t="inlineStr">
        <is>
          <t>GAFS Units</t>
        </is>
      </c>
      <c r="B9" s="8">
        <f>SUM(BeginningInventory!$E$5)+SUM(Purchases!$E$5:$E$8)</f>
        <v/>
      </c>
      <c r="C9" s="3" t="inlineStr">
        <is>
          <t>Beginning units plus purchases.</t>
        </is>
      </c>
    </row>
    <row r="10">
      <c r="A10" s="3" t="inlineStr">
        <is>
          <t>GAFS Cost</t>
        </is>
      </c>
      <c r="B10" s="8">
        <f>SUM(BeginningInventory!$G$5)+SUM(Purchases!$G$5:$G$8)</f>
        <v/>
      </c>
      <c r="C10" s="3" t="inlineStr">
        <is>
          <t>Total cost available for sale.</t>
        </is>
      </c>
    </row>
    <row r="11">
      <c r="A11" s="3" t="inlineStr">
        <is>
          <t>Beginning Inventory Cost</t>
        </is>
      </c>
      <c r="B11" s="8">
        <f>SUM(BeginningInventory!$G$5)</f>
        <v/>
      </c>
      <c r="C11" s="3" t="inlineStr">
        <is>
          <t>Used for average inventory turnover math.</t>
        </is>
      </c>
    </row>
    <row r="13">
      <c r="A13" s="4" t="inlineStr">
        <is>
          <t>Interpretation Notes</t>
        </is>
      </c>
    </row>
    <row r="14">
      <c r="A14" s="5" t="inlineStr">
        <is>
          <t>Topic</t>
        </is>
      </c>
      <c r="B14" s="5" t="inlineStr">
        <is>
          <t>Note</t>
        </is>
      </c>
    </row>
    <row r="15">
      <c r="A15" s="3" t="inlineStr">
        <is>
          <t>Cost pattern</t>
        </is>
      </c>
      <c r="B15" s="3" t="inlineStr">
        <is>
          <t>Unit costs stay close together, so smoothing methods may tell the most practical story.</t>
        </is>
      </c>
    </row>
    <row r="16">
      <c r="A16" s="3" t="inlineStr">
        <is>
          <t>Physical reality</t>
        </is>
      </c>
      <c r="B16" s="3" t="inlineStr">
        <is>
          <t>Charging hubs are identical retail units, so weighted-average logic is operationally realistic.</t>
        </is>
      </c>
    </row>
    <row r="17">
      <c r="A17" s="3" t="inlineStr">
        <is>
          <t>Audience</t>
        </is>
      </c>
      <c r="B17" s="3" t="inlineStr">
        <is>
          <t>Assume a retail operations team wants a method that is easy to maintain and explain at scale.</t>
        </is>
      </c>
    </row>
  </sheetData>
  <mergeCells count="3">
    <mergeCell ref="A1:D1"/>
    <mergeCell ref="A13:D13"/>
    <mergeCell ref="A3:D3"/>
  </mergeCells>
  <dataValidations count="1">
    <dataValidation sqref="B5" showDropDown="0" showInputMessage="0" showErrorMessage="0" allowBlank="0" type="list">
      <formula1>"FIFO,LIFO,Weighted Average,Specific 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4" customWidth="1" min="4" max="4"/>
    <col width="10" customWidth="1" min="5" max="5"/>
    <col width="12" customWidth="1" min="6" max="6"/>
    <col width="14" customWidth="1" min="7" max="7"/>
    <col width="18" customWidth="1" min="8" max="8"/>
    <col width="32" customWidth="1" min="9" max="9"/>
  </cols>
  <sheetData>
    <row r="1">
      <c r="A1" s="1" t="inlineStr">
        <is>
          <t>Beginning Inventory Layer</t>
        </is>
      </c>
    </row>
    <row r="4">
      <c r="A4" s="5" t="inlineStr">
        <is>
          <t>LotID</t>
        </is>
      </c>
      <c r="B4" s="5" t="inlineStr">
        <is>
          <t>SKU</t>
        </is>
      </c>
      <c r="C4" s="5" t="inlineStr">
        <is>
          <t>Item</t>
        </is>
      </c>
      <c r="D4" s="5" t="inlineStr">
        <is>
          <t>ReceiptDate</t>
        </is>
      </c>
      <c r="E4" s="5" t="inlineStr">
        <is>
          <t>Units</t>
        </is>
      </c>
      <c r="F4" s="5" t="inlineStr">
        <is>
          <t>UnitCost</t>
        </is>
      </c>
      <c r="G4" s="5" t="inlineStr">
        <is>
          <t>ExtendedCost</t>
        </is>
      </c>
      <c r="H4" s="5" t="inlineStr">
        <is>
          <t>StorageNote</t>
        </is>
      </c>
      <c r="I4" s="5" t="inlineStr">
        <is>
          <t>Notes</t>
        </is>
      </c>
    </row>
    <row r="5">
      <c r="A5" s="3" t="inlineStr">
        <is>
          <t>BC-BEG</t>
        </is>
      </c>
      <c r="B5" s="3" t="inlineStr">
        <is>
          <t>BC-HUB-02</t>
        </is>
      </c>
      <c r="C5" s="3" t="inlineStr">
        <is>
          <t>USB Charging Hub</t>
        </is>
      </c>
      <c r="D5" s="9" t="inlineStr">
        <is>
          <t>2025-01-01</t>
        </is>
      </c>
      <c r="E5" s="3" t="n">
        <v>120</v>
      </c>
      <c r="F5" s="8" t="n">
        <v>18</v>
      </c>
      <c r="G5" s="8">
        <f>E5*F5</f>
        <v/>
      </c>
      <c r="H5" s="3" t="inlineStr">
        <is>
          <t>Aisle C</t>
        </is>
      </c>
      <c r="I5" s="3" t="inlineStr">
        <is>
          <t>Opening retail inventory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0" customWidth="1" min="5" max="5"/>
    <col width="12" customWidth="1" min="6" max="6"/>
    <col width="14" customWidth="1" min="7" max="7"/>
    <col width="14" customWidth="1" min="8" max="8"/>
    <col width="34" customWidth="1" min="9" max="9"/>
  </cols>
  <sheetData>
    <row r="1">
      <c r="A1" s="1" t="inlineStr">
        <is>
          <t>Purchase Layers</t>
        </is>
      </c>
    </row>
    <row r="4">
      <c r="A4" s="5" t="inlineStr">
        <is>
          <t>LotID</t>
        </is>
      </c>
      <c r="B4" s="5" t="inlineStr">
        <is>
          <t>PO</t>
        </is>
      </c>
      <c r="C4" s="5" t="inlineStr">
        <is>
          <t>SKU</t>
        </is>
      </c>
      <c r="D4" s="5" t="inlineStr">
        <is>
          <t>ReceiptDate</t>
        </is>
      </c>
      <c r="E4" s="5" t="inlineStr">
        <is>
          <t>Units</t>
        </is>
      </c>
      <c r="F4" s="5" t="inlineStr">
        <is>
          <t>UnitCost</t>
        </is>
      </c>
      <c r="G4" s="5" t="inlineStr">
        <is>
          <t>ExtendedCost</t>
        </is>
      </c>
      <c r="H4" s="5" t="inlineStr">
        <is>
          <t>Vendor</t>
        </is>
      </c>
      <c r="I4" s="5" t="inlineStr">
        <is>
          <t>Notes</t>
        </is>
      </c>
    </row>
    <row r="5">
      <c r="A5" s="3" t="inlineStr">
        <is>
          <t>BC-301</t>
        </is>
      </c>
      <c r="B5" s="3" t="inlineStr">
        <is>
          <t>PO-301</t>
        </is>
      </c>
      <c r="C5" s="3" t="inlineStr">
        <is>
          <t>BC-HUB-02</t>
        </is>
      </c>
      <c r="D5" s="9" t="inlineStr">
        <is>
          <t>2025-01-08</t>
        </is>
      </c>
      <c r="E5" s="3" t="n">
        <v>80</v>
      </c>
      <c r="F5" s="8" t="n">
        <v>17.8</v>
      </c>
      <c r="G5" s="8">
        <f>E5*F5</f>
        <v/>
      </c>
      <c r="H5" s="3" t="inlineStr">
        <is>
          <t>RetailGrid</t>
        </is>
      </c>
      <c r="I5" s="3" t="inlineStr">
        <is>
          <t>Promo restock</t>
        </is>
      </c>
    </row>
    <row r="6">
      <c r="A6" s="3" t="inlineStr">
        <is>
          <t>BC-302</t>
        </is>
      </c>
      <c r="B6" s="3" t="inlineStr">
        <is>
          <t>PO-302</t>
        </is>
      </c>
      <c r="C6" s="3" t="inlineStr">
        <is>
          <t>BC-HUB-02</t>
        </is>
      </c>
      <c r="D6" s="9" t="inlineStr">
        <is>
          <t>2025-01-19</t>
        </is>
      </c>
      <c r="E6" s="3" t="n">
        <v>60</v>
      </c>
      <c r="F6" s="8" t="n">
        <v>18.2</v>
      </c>
      <c r="G6" s="8">
        <f>E6*F6</f>
        <v/>
      </c>
      <c r="H6" s="3" t="inlineStr">
        <is>
          <t>RetailGrid</t>
        </is>
      </c>
      <c r="I6" s="3" t="inlineStr">
        <is>
          <t>Standard replenishment</t>
        </is>
      </c>
    </row>
    <row r="7">
      <c r="A7" s="3" t="inlineStr">
        <is>
          <t>BC-303</t>
        </is>
      </c>
      <c r="B7" s="3" t="inlineStr">
        <is>
          <t>PO-303</t>
        </is>
      </c>
      <c r="C7" s="3" t="inlineStr">
        <is>
          <t>BC-HUB-02</t>
        </is>
      </c>
      <c r="D7" s="9" t="inlineStr">
        <is>
          <t>2025-01-28</t>
        </is>
      </c>
      <c r="E7" s="3" t="n">
        <v>90</v>
      </c>
      <c r="F7" s="8" t="n">
        <v>18.1</v>
      </c>
      <c r="G7" s="8">
        <f>E7*F7</f>
        <v/>
      </c>
      <c r="H7" s="3" t="inlineStr">
        <is>
          <t>RetailGrid</t>
        </is>
      </c>
      <c r="I7" s="3" t="inlineStr">
        <is>
          <t>Warehouse fill</t>
        </is>
      </c>
    </row>
    <row r="8">
      <c r="A8" s="3" t="inlineStr">
        <is>
          <t>BC-304</t>
        </is>
      </c>
      <c r="B8" s="3" t="inlineStr">
        <is>
          <t>PO-304</t>
        </is>
      </c>
      <c r="C8" s="3" t="inlineStr">
        <is>
          <t>BC-HUB-02</t>
        </is>
      </c>
      <c r="D8" s="9" t="inlineStr">
        <is>
          <t>2025-02-09</t>
        </is>
      </c>
      <c r="E8" s="3" t="n">
        <v>70</v>
      </c>
      <c r="F8" s="8" t="n">
        <v>17.9</v>
      </c>
      <c r="G8" s="8">
        <f>E8*F8</f>
        <v/>
      </c>
      <c r="H8" s="3" t="inlineStr">
        <is>
          <t>RetailGrid</t>
        </is>
      </c>
      <c r="I8" s="3" t="inlineStr">
        <is>
          <t>Late restock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  <col width="28" customWidth="1" min="7" max="7"/>
  </cols>
  <sheetData>
    <row r="1">
      <c r="A1" s="1" t="inlineStr">
        <is>
          <t>Sales And Specific-ID Assignment Log</t>
        </is>
      </c>
    </row>
    <row r="4">
      <c r="A4" s="5" t="inlineStr">
        <is>
          <t>SaleID</t>
        </is>
      </c>
      <c r="B4" s="5" t="inlineStr">
        <is>
          <t>SKU</t>
        </is>
      </c>
      <c r="C4" s="5" t="inlineStr">
        <is>
          <t>SaleDate</t>
        </is>
      </c>
      <c r="D4" s="5" t="inlineStr">
        <is>
          <t>UnitsSold</t>
        </is>
      </c>
      <c r="E4" s="5" t="inlineStr">
        <is>
          <t>UnitPrice</t>
        </is>
      </c>
      <c r="F4" s="5" t="inlineStr">
        <is>
          <t>Revenue</t>
        </is>
      </c>
      <c r="G4" s="5" t="inlineStr">
        <is>
          <t>Notes</t>
        </is>
      </c>
    </row>
    <row r="5">
      <c r="A5" s="3" t="inlineStr">
        <is>
          <t>INV-601</t>
        </is>
      </c>
      <c r="B5" s="3" t="inlineStr">
        <is>
          <t>BC-HUB-02</t>
        </is>
      </c>
      <c r="C5" s="9" t="inlineStr">
        <is>
          <t>2025-01-14</t>
        </is>
      </c>
      <c r="D5" s="3" t="n">
        <v>85</v>
      </c>
      <c r="E5" s="8" t="n">
        <v>32</v>
      </c>
      <c r="F5" s="8">
        <f>D5*E5</f>
        <v/>
      </c>
      <c r="G5" s="3" t="inlineStr">
        <is>
          <t>Marketplace promotion</t>
        </is>
      </c>
    </row>
    <row r="6">
      <c r="A6" s="3" t="inlineStr">
        <is>
          <t>INV-602</t>
        </is>
      </c>
      <c r="B6" s="3" t="inlineStr">
        <is>
          <t>BC-HUB-02</t>
        </is>
      </c>
      <c r="C6" s="9" t="inlineStr">
        <is>
          <t>2025-01-31</t>
        </is>
      </c>
      <c r="D6" s="3" t="n">
        <v>90</v>
      </c>
      <c r="E6" s="8" t="n">
        <v>32.5</v>
      </c>
      <c r="F6" s="8">
        <f>D6*E6</f>
        <v/>
      </c>
      <c r="G6" s="3" t="inlineStr">
        <is>
          <t>Back-to-office order</t>
        </is>
      </c>
    </row>
    <row r="7">
      <c r="A7" s="3" t="inlineStr">
        <is>
          <t>INV-603</t>
        </is>
      </c>
      <c r="B7" s="3" t="inlineStr">
        <is>
          <t>BC-HUB-02</t>
        </is>
      </c>
      <c r="C7" s="9" t="inlineStr">
        <is>
          <t>2025-02-12</t>
        </is>
      </c>
      <c r="D7" s="3" t="n">
        <v>70</v>
      </c>
      <c r="E7" s="8" t="n">
        <v>33</v>
      </c>
      <c r="F7" s="8">
        <f>D7*E7</f>
        <v/>
      </c>
      <c r="G7" s="3" t="inlineStr">
        <is>
          <t>Regional reseller shipment</t>
        </is>
      </c>
    </row>
    <row r="10">
      <c r="A10" s="4" t="inlineStr">
        <is>
          <t>Specific ID Assignment Table</t>
        </is>
      </c>
    </row>
    <row r="11">
      <c r="A11" s="5" t="inlineStr">
        <is>
          <t>SaleID</t>
        </is>
      </c>
      <c r="B11" s="5" t="inlineStr">
        <is>
          <t>LotID</t>
        </is>
      </c>
      <c r="C11" s="5" t="inlineStr">
        <is>
          <t>UnitsAssigned</t>
        </is>
      </c>
      <c r="D11" s="5" t="inlineStr">
        <is>
          <t>UnitCost</t>
        </is>
      </c>
      <c r="E11" s="5" t="inlineStr">
        <is>
          <t>ExtendedCost</t>
        </is>
      </c>
      <c r="F11" s="5" t="inlineStr">
        <is>
          <t>WhyThisLot</t>
        </is>
      </c>
    </row>
    <row r="12">
      <c r="A12" s="3" t="inlineStr">
        <is>
          <t>INV-601</t>
        </is>
      </c>
      <c r="B12" s="3" t="inlineStr">
        <is>
          <t>BC-BEG</t>
        </is>
      </c>
      <c r="C12" s="3" t="n">
        <v>40</v>
      </c>
      <c r="D12" s="8" t="n">
        <v>18</v>
      </c>
      <c r="E12" s="8">
        <f>C12*D12</f>
        <v/>
      </c>
      <c r="F12" s="3" t="inlineStr">
        <is>
          <t>Early shelf stock sold first</t>
        </is>
      </c>
    </row>
    <row r="13">
      <c r="A13" s="3" t="inlineStr">
        <is>
          <t>INV-601</t>
        </is>
      </c>
      <c r="B13" s="3" t="inlineStr">
        <is>
          <t>BC-301</t>
        </is>
      </c>
      <c r="C13" s="3" t="n">
        <v>25</v>
      </c>
      <c r="D13" s="8" t="n">
        <v>17.8</v>
      </c>
      <c r="E13" s="8">
        <f>C13*D13</f>
        <v/>
      </c>
      <c r="F13" s="3" t="inlineStr">
        <is>
          <t>Promo lot blended into first wave</t>
        </is>
      </c>
    </row>
    <row r="14">
      <c r="A14" s="3" t="inlineStr">
        <is>
          <t>INV-601</t>
        </is>
      </c>
      <c r="B14" s="3" t="inlineStr">
        <is>
          <t>BC-302</t>
        </is>
      </c>
      <c r="C14" s="3" t="n">
        <v>20</v>
      </c>
      <c r="D14" s="8" t="n">
        <v>18.2</v>
      </c>
      <c r="E14" s="8">
        <f>C14*D14</f>
        <v/>
      </c>
      <c r="F14" s="3" t="inlineStr">
        <is>
          <t>Standard replenishment units</t>
        </is>
      </c>
    </row>
    <row r="15">
      <c r="A15" s="3" t="inlineStr">
        <is>
          <t>INV-602</t>
        </is>
      </c>
      <c r="B15" s="3" t="inlineStr">
        <is>
          <t>BC-BEG</t>
        </is>
      </c>
      <c r="C15" s="3" t="n">
        <v>35</v>
      </c>
      <c r="D15" s="8" t="n">
        <v>18</v>
      </c>
      <c r="E15" s="8">
        <f>C15*D15</f>
        <v/>
      </c>
      <c r="F15" s="3" t="inlineStr">
        <is>
          <t>Remaining opening stock</t>
        </is>
      </c>
    </row>
    <row r="16">
      <c r="A16" s="3" t="inlineStr">
        <is>
          <t>INV-602</t>
        </is>
      </c>
      <c r="B16" s="3" t="inlineStr">
        <is>
          <t>BC-303</t>
        </is>
      </c>
      <c r="C16" s="3" t="n">
        <v>30</v>
      </c>
      <c r="D16" s="8" t="n">
        <v>18.1</v>
      </c>
      <c r="E16" s="8">
        <f>C16*D16</f>
        <v/>
      </c>
      <c r="F16" s="3" t="inlineStr">
        <is>
          <t>Warehouse-fill lot</t>
        </is>
      </c>
    </row>
    <row r="17">
      <c r="A17" s="3" t="inlineStr">
        <is>
          <t>INV-602</t>
        </is>
      </c>
      <c r="B17" s="3" t="inlineStr">
        <is>
          <t>BC-304</t>
        </is>
      </c>
      <c r="C17" s="3" t="n">
        <v>25</v>
      </c>
      <c r="D17" s="8" t="n">
        <v>17.9</v>
      </c>
      <c r="E17" s="8">
        <f>C17*D17</f>
        <v/>
      </c>
      <c r="F17" s="3" t="inlineStr">
        <is>
          <t>Late restock entered second wave</t>
        </is>
      </c>
    </row>
    <row r="18">
      <c r="A18" s="3" t="inlineStr">
        <is>
          <t>INV-603</t>
        </is>
      </c>
      <c r="B18" s="3" t="inlineStr">
        <is>
          <t>BC-BEG</t>
        </is>
      </c>
      <c r="C18" s="3" t="n">
        <v>15</v>
      </c>
      <c r="D18" s="8" t="n">
        <v>18</v>
      </c>
      <c r="E18" s="8">
        <f>C18*D18</f>
        <v/>
      </c>
      <c r="F18" s="3" t="inlineStr">
        <is>
          <t>Residual opening units</t>
        </is>
      </c>
    </row>
    <row r="19">
      <c r="A19" s="3" t="inlineStr">
        <is>
          <t>INV-603</t>
        </is>
      </c>
      <c r="B19" s="3" t="inlineStr">
        <is>
          <t>BC-301</t>
        </is>
      </c>
      <c r="C19" s="3" t="n">
        <v>20</v>
      </c>
      <c r="D19" s="8" t="n">
        <v>17.8</v>
      </c>
      <c r="E19" s="8">
        <f>C19*D19</f>
        <v/>
      </c>
      <c r="F19" s="3" t="inlineStr">
        <is>
          <t>Promo lot carryover</t>
        </is>
      </c>
    </row>
    <row r="20">
      <c r="A20" s="3" t="inlineStr">
        <is>
          <t>INV-603</t>
        </is>
      </c>
      <c r="B20" s="3" t="inlineStr">
        <is>
          <t>BC-304</t>
        </is>
      </c>
      <c r="C20" s="3" t="n">
        <v>35</v>
      </c>
      <c r="D20" s="8" t="n">
        <v>17.9</v>
      </c>
      <c r="E20" s="8">
        <f>C20*D20</f>
        <v/>
      </c>
      <c r="F20" s="3" t="inlineStr">
        <is>
          <t>Newest blended reseller shipment</t>
        </is>
      </c>
    </row>
  </sheetData>
  <mergeCells count="2">
    <mergeCell ref="A10:F10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12" customWidth="1" min="13" max="13"/>
    <col width="15" customWidth="1" min="14" max="14"/>
    <col width="12" customWidth="1" min="15" max="15"/>
    <col width="15" customWidth="1" min="16" max="16"/>
    <col width="14" customWidth="1" min="17" max="17"/>
  </cols>
  <sheetData>
    <row r="1">
      <c r="A1" s="1" t="inlineStr">
        <is>
          <t>Layer-By-Layer Valuation</t>
        </is>
      </c>
    </row>
    <row r="3">
      <c r="A3" s="4" t="inlineStr">
        <is>
          <t>Shared Inputs</t>
        </is>
      </c>
    </row>
    <row r="4">
      <c r="A4" s="2" t="inlineStr">
        <is>
          <t>Total Units Sold</t>
        </is>
      </c>
      <c r="B4" s="3">
        <f>Inputs!$B$7</f>
        <v/>
      </c>
    </row>
    <row r="5">
      <c r="A5" s="2" t="inlineStr">
        <is>
          <t>GAFS Units</t>
        </is>
      </c>
      <c r="B5" s="3">
        <f>Inputs!$B$9</f>
        <v/>
      </c>
    </row>
    <row r="6">
      <c r="A6" s="2" t="inlineStr">
        <is>
          <t>GAFS Cost</t>
        </is>
      </c>
      <c r="B6" s="8">
        <f>Inputs!$B$10</f>
        <v/>
      </c>
    </row>
    <row r="7">
      <c r="A7" s="2" t="inlineStr">
        <is>
          <t>Revenue</t>
        </is>
      </c>
      <c r="B7" s="8">
        <f>Inputs!$B$8</f>
        <v/>
      </c>
    </row>
    <row r="9">
      <c r="A9" s="5" t="inlineStr">
        <is>
          <t>LotID</t>
        </is>
      </c>
      <c r="B9" s="5" t="inlineStr">
        <is>
          <t>Source</t>
        </is>
      </c>
      <c r="C9" s="5" t="inlineStr">
        <is>
          <t>ReceiptDate</t>
        </is>
      </c>
      <c r="D9" s="5" t="inlineStr">
        <is>
          <t>UnitsAvailable</t>
        </is>
      </c>
      <c r="E9" s="5" t="inlineStr">
        <is>
          <t>UnitCost</t>
        </is>
      </c>
      <c r="F9" s="5" t="inlineStr">
        <is>
          <t>FIFO Units Sold</t>
        </is>
      </c>
      <c r="G9" s="5" t="inlineStr">
        <is>
          <t>FIFO COGS</t>
        </is>
      </c>
      <c r="H9" s="5" t="inlineStr">
        <is>
          <t>FIFO Ending Units</t>
        </is>
      </c>
      <c r="I9" s="5" t="inlineStr">
        <is>
          <t>FIFO Ending Cost</t>
        </is>
      </c>
      <c r="J9" s="5" t="inlineStr">
        <is>
          <t>LIFO Units Sold</t>
        </is>
      </c>
      <c r="K9" s="5" t="inlineStr">
        <is>
          <t>LIFO COGS</t>
        </is>
      </c>
      <c r="L9" s="5" t="inlineStr">
        <is>
          <t>LIFO Ending Units</t>
        </is>
      </c>
      <c r="M9" s="5" t="inlineStr">
        <is>
          <t>LIFO Ending Cost</t>
        </is>
      </c>
      <c r="N9" s="5" t="inlineStr">
        <is>
          <t>Specific ID Units Sold</t>
        </is>
      </c>
      <c r="O9" s="5" t="inlineStr">
        <is>
          <t>Specific ID COGS</t>
        </is>
      </c>
      <c r="P9" s="5" t="inlineStr">
        <is>
          <t>Specific ID Ending Units</t>
        </is>
      </c>
      <c r="Q9" s="5" t="inlineStr">
        <is>
          <t>Specific ID Ending Cost</t>
        </is>
      </c>
    </row>
    <row r="10">
      <c r="A10" s="3">
        <f>BeginningInventory!$A$5</f>
        <v/>
      </c>
      <c r="B10" s="3" t="inlineStr">
        <is>
          <t>Beginning</t>
        </is>
      </c>
      <c r="C10" s="9">
        <f>BeginningInventory!$D$5</f>
        <v/>
      </c>
      <c r="D10" s="3">
        <f>BeginningInventory!$E$5</f>
        <v/>
      </c>
      <c r="E10" s="8">
        <f>BeginningInventory!$F$5</f>
        <v/>
      </c>
      <c r="F10" s="3">
        <f>MAX(0,MIN(D10,$B$4))</f>
        <v/>
      </c>
      <c r="G10" s="8">
        <f>F10*E10</f>
        <v/>
      </c>
      <c r="H10" s="3">
        <f>D10-F10</f>
        <v/>
      </c>
      <c r="I10" s="8">
        <f>H10*E10</f>
        <v/>
      </c>
      <c r="J10" s="3">
        <f>MAX(0,MIN(D10,$B$4-SUM($J$11:$J$14)))</f>
        <v/>
      </c>
      <c r="K10" s="8">
        <f>J10*E10</f>
        <v/>
      </c>
      <c r="L10" s="3">
        <f>D10-J10</f>
        <v/>
      </c>
      <c r="M10" s="8">
        <f>L10*E10</f>
        <v/>
      </c>
      <c r="N10" s="3">
        <f>SUMIF(Sales!$B$12:$B$20,A10,Sales!$C$12:$C$20)</f>
        <v/>
      </c>
      <c r="O10" s="8">
        <f>N10*E10</f>
        <v/>
      </c>
      <c r="P10" s="3">
        <f>D10-N10</f>
        <v/>
      </c>
      <c r="Q10" s="8">
        <f>P10*E10</f>
        <v/>
      </c>
    </row>
    <row r="11">
      <c r="A11" s="3">
        <f>Purchases!$A$5</f>
        <v/>
      </c>
      <c r="B11" s="3" t="inlineStr">
        <is>
          <t>Purchase</t>
        </is>
      </c>
      <c r="C11" s="9">
        <f>Purchases!$D$5</f>
        <v/>
      </c>
      <c r="D11" s="3">
        <f>Purchases!$E$5</f>
        <v/>
      </c>
      <c r="E11" s="8">
        <f>Purchases!$F$5</f>
        <v/>
      </c>
      <c r="F11" s="3">
        <f>MAX(0,MIN(D11,$B$4-SUM($F$10:F10)))</f>
        <v/>
      </c>
      <c r="G11" s="8">
        <f>F11*E11</f>
        <v/>
      </c>
      <c r="H11" s="3">
        <f>D11-F11</f>
        <v/>
      </c>
      <c r="I11" s="8">
        <f>H11*E11</f>
        <v/>
      </c>
      <c r="J11" s="3">
        <f>MAX(0,MIN(D11,$B$4-SUM($J$12:$J$14)))</f>
        <v/>
      </c>
      <c r="K11" s="8">
        <f>J11*E11</f>
        <v/>
      </c>
      <c r="L11" s="3">
        <f>D11-J11</f>
        <v/>
      </c>
      <c r="M11" s="8">
        <f>L11*E11</f>
        <v/>
      </c>
      <c r="N11" s="3">
        <f>SUMIF(Sales!$B$12:$B$20,A11,Sales!$C$12:$C$20)</f>
        <v/>
      </c>
      <c r="O11" s="8">
        <f>N11*E11</f>
        <v/>
      </c>
      <c r="P11" s="3">
        <f>D11-N11</f>
        <v/>
      </c>
      <c r="Q11" s="8">
        <f>P11*E11</f>
        <v/>
      </c>
    </row>
    <row r="12">
      <c r="A12" s="3">
        <f>Purchases!$A$6</f>
        <v/>
      </c>
      <c r="B12" s="3" t="inlineStr">
        <is>
          <t>Purchase</t>
        </is>
      </c>
      <c r="C12" s="9">
        <f>Purchases!$D$6</f>
        <v/>
      </c>
      <c r="D12" s="3">
        <f>Purchases!$E$6</f>
        <v/>
      </c>
      <c r="E12" s="8">
        <f>Purchases!$F$6</f>
        <v/>
      </c>
      <c r="F12" s="3">
        <f>MAX(0,MIN(D12,$B$4-SUM($F$10:F11)))</f>
        <v/>
      </c>
      <c r="G12" s="8">
        <f>F12*E12</f>
        <v/>
      </c>
      <c r="H12" s="3">
        <f>D12-F12</f>
        <v/>
      </c>
      <c r="I12" s="8">
        <f>H12*E12</f>
        <v/>
      </c>
      <c r="J12" s="3">
        <f>MAX(0,MIN(D12,$B$4-SUM($J$13:$J$14)))</f>
        <v/>
      </c>
      <c r="K12" s="8">
        <f>J12*E12</f>
        <v/>
      </c>
      <c r="L12" s="3">
        <f>D12-J12</f>
        <v/>
      </c>
      <c r="M12" s="8">
        <f>L12*E12</f>
        <v/>
      </c>
      <c r="N12" s="3">
        <f>SUMIF(Sales!$B$12:$B$20,A12,Sales!$C$12:$C$20)</f>
        <v/>
      </c>
      <c r="O12" s="8">
        <f>N12*E12</f>
        <v/>
      </c>
      <c r="P12" s="3">
        <f>D12-N12</f>
        <v/>
      </c>
      <c r="Q12" s="8">
        <f>P12*E12</f>
        <v/>
      </c>
    </row>
    <row r="13">
      <c r="A13" s="3">
        <f>Purchases!$A$7</f>
        <v/>
      </c>
      <c r="B13" s="3" t="inlineStr">
        <is>
          <t>Purchase</t>
        </is>
      </c>
      <c r="C13" s="9">
        <f>Purchases!$D$7</f>
        <v/>
      </c>
      <c r="D13" s="3">
        <f>Purchases!$E$7</f>
        <v/>
      </c>
      <c r="E13" s="8">
        <f>Purchases!$F$7</f>
        <v/>
      </c>
      <c r="F13" s="3">
        <f>MAX(0,MIN(D13,$B$4-SUM($F$10:F12)))</f>
        <v/>
      </c>
      <c r="G13" s="8">
        <f>F13*E13</f>
        <v/>
      </c>
      <c r="H13" s="3">
        <f>D13-F13</f>
        <v/>
      </c>
      <c r="I13" s="8">
        <f>H13*E13</f>
        <v/>
      </c>
      <c r="J13" s="3">
        <f>MAX(0,MIN(D13,$B$4-SUM($J$14:$J$14)))</f>
        <v/>
      </c>
      <c r="K13" s="8">
        <f>J13*E13</f>
        <v/>
      </c>
      <c r="L13" s="3">
        <f>D13-J13</f>
        <v/>
      </c>
      <c r="M13" s="8">
        <f>L13*E13</f>
        <v/>
      </c>
      <c r="N13" s="3">
        <f>SUMIF(Sales!$B$12:$B$20,A13,Sales!$C$12:$C$20)</f>
        <v/>
      </c>
      <c r="O13" s="8">
        <f>N13*E13</f>
        <v/>
      </c>
      <c r="P13" s="3">
        <f>D13-N13</f>
        <v/>
      </c>
      <c r="Q13" s="8">
        <f>P13*E13</f>
        <v/>
      </c>
    </row>
    <row r="14">
      <c r="A14" s="3">
        <f>Purchases!$A$8</f>
        <v/>
      </c>
      <c r="B14" s="3" t="inlineStr">
        <is>
          <t>Purchase</t>
        </is>
      </c>
      <c r="C14" s="9">
        <f>Purchases!$D$8</f>
        <v/>
      </c>
      <c r="D14" s="3">
        <f>Purchases!$E$8</f>
        <v/>
      </c>
      <c r="E14" s="8">
        <f>Purchases!$F$8</f>
        <v/>
      </c>
      <c r="F14" s="3">
        <f>MAX(0,MIN(D14,$B$4-SUM($F$10:F13)))</f>
        <v/>
      </c>
      <c r="G14" s="8">
        <f>F14*E14</f>
        <v/>
      </c>
      <c r="H14" s="3">
        <f>D14-F14</f>
        <v/>
      </c>
      <c r="I14" s="8">
        <f>H14*E14</f>
        <v/>
      </c>
      <c r="J14" s="3">
        <f>MAX(0,MIN(D14,$B$4))</f>
        <v/>
      </c>
      <c r="K14" s="8">
        <f>J14*E14</f>
        <v/>
      </c>
      <c r="L14" s="3">
        <f>D14-J14</f>
        <v/>
      </c>
      <c r="M14" s="8">
        <f>L14*E14</f>
        <v/>
      </c>
      <c r="N14" s="3">
        <f>SUMIF(Sales!$B$12:$B$20,A14,Sales!$C$12:$C$20)</f>
        <v/>
      </c>
      <c r="O14" s="8">
        <f>N14*E14</f>
        <v/>
      </c>
      <c r="P14" s="3">
        <f>D14-N14</f>
        <v/>
      </c>
      <c r="Q14" s="8">
        <f>P14*E14</f>
        <v/>
      </c>
    </row>
    <row r="17">
      <c r="A17" s="4" t="inlineStr">
        <is>
          <t>Weighted Average Block</t>
        </is>
      </c>
    </row>
    <row r="18">
      <c r="A18" s="10" t="inlineStr">
        <is>
          <t>Average Unit Cost</t>
        </is>
      </c>
      <c r="B18" s="11">
        <f>B6/B5</f>
        <v/>
      </c>
    </row>
    <row r="19">
      <c r="A19" s="10" t="inlineStr">
        <is>
          <t>Units Sold</t>
        </is>
      </c>
      <c r="B19" s="12">
        <f>B4</f>
        <v/>
      </c>
    </row>
    <row r="20">
      <c r="A20" s="10" t="inlineStr">
        <is>
          <t>Weighted Avg COGS</t>
        </is>
      </c>
      <c r="B20" s="11">
        <f>B18*B19</f>
        <v/>
      </c>
    </row>
    <row r="21">
      <c r="A21" s="10" t="inlineStr">
        <is>
          <t>Ending Units</t>
        </is>
      </c>
      <c r="B21" s="12">
        <f>B5-B19</f>
        <v/>
      </c>
    </row>
    <row r="22">
      <c r="A22" s="10" t="inlineStr">
        <is>
          <t>Weighted Avg Ending Inventory</t>
        </is>
      </c>
      <c r="B22" s="11">
        <f>B18*B21</f>
        <v/>
      </c>
    </row>
    <row r="23">
      <c r="A23" s="10" t="inlineStr">
        <is>
          <t>Balance Check</t>
        </is>
      </c>
      <c r="B23" s="11">
        <f>B20+B22</f>
        <v/>
      </c>
    </row>
  </sheetData>
  <mergeCells count="3">
    <mergeCell ref="A17:D17"/>
    <mergeCell ref="A1:Q1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6" customWidth="1" min="5" max="5"/>
    <col width="15" customWidth="1" min="6" max="6"/>
    <col width="14" customWidth="1" min="7" max="7"/>
    <col width="15" customWidth="1" min="8" max="8"/>
    <col width="12" customWidth="1" min="9" max="9"/>
    <col width="14" customWidth="1" min="10" max="10"/>
    <col width="28" customWidth="1" min="11" max="11"/>
  </cols>
  <sheetData>
    <row r="1">
      <c r="A1" s="1" t="inlineStr">
        <is>
          <t>Method Comparison</t>
        </is>
      </c>
    </row>
    <row r="4">
      <c r="A4" s="5" t="inlineStr">
        <is>
          <t>Method</t>
        </is>
      </c>
      <c r="B4" s="5" t="inlineStr">
        <is>
          <t>Units Sold</t>
        </is>
      </c>
      <c r="C4" s="5" t="inlineStr">
        <is>
          <t>Revenue</t>
        </is>
      </c>
      <c r="D4" s="5" t="inlineStr">
        <is>
          <t>COGS</t>
        </is>
      </c>
      <c r="E4" s="5" t="inlineStr">
        <is>
          <t>Ending Inventory</t>
        </is>
      </c>
      <c r="F4" s="5" t="inlineStr">
        <is>
          <t>Gross Margin $</t>
        </is>
      </c>
      <c r="G4" s="5" t="inlineStr">
        <is>
          <t>Gross Margin %</t>
        </is>
      </c>
      <c r="H4" s="5" t="inlineStr">
        <is>
          <t>Avg Inventory</t>
        </is>
      </c>
      <c r="I4" s="5" t="inlineStr">
        <is>
          <t>Turnover</t>
        </is>
      </c>
      <c r="J4" s="5" t="inlineStr">
        <is>
          <t>Days On Hand</t>
        </is>
      </c>
      <c r="K4" s="5" t="inlineStr">
        <is>
          <t>Reading</t>
        </is>
      </c>
    </row>
    <row r="5">
      <c r="A5" s="3" t="inlineStr">
        <is>
          <t>FIFO</t>
        </is>
      </c>
      <c r="B5" s="3">
        <f>Inputs!$B$7</f>
        <v/>
      </c>
      <c r="C5" s="8">
        <f>Inputs!$B$8</f>
        <v/>
      </c>
      <c r="D5" s="8">
        <f>SUM(Valuation!$G$10:$G$14)</f>
        <v/>
      </c>
      <c r="E5" s="8">
        <f>SUM(Valuation!$I$10:$I$14)</f>
        <v/>
      </c>
      <c r="F5" s="8">
        <f>C5-D5</f>
        <v/>
      </c>
      <c r="G5" s="13">
        <f>IFERROR(F5/C5,0)</f>
        <v/>
      </c>
      <c r="H5" s="8">
        <f>(Inputs!$B$11+E5)/2</f>
        <v/>
      </c>
      <c r="I5" s="14">
        <f>IFERROR(D5/H5,0)</f>
        <v/>
      </c>
      <c r="J5" s="14">
        <f>IFERROR(365/I5,0)</f>
        <v/>
      </c>
      <c r="K5" s="3" t="inlineStr">
        <is>
          <t>Highest margin, slowest turnover</t>
        </is>
      </c>
    </row>
    <row r="6">
      <c r="A6" s="3" t="inlineStr">
        <is>
          <t>LIFO</t>
        </is>
      </c>
      <c r="B6" s="3">
        <f>Inputs!$B$7</f>
        <v/>
      </c>
      <c r="C6" s="8">
        <f>Inputs!$B$8</f>
        <v/>
      </c>
      <c r="D6" s="8">
        <f>SUM(Valuation!$K$10:$K$14)</f>
        <v/>
      </c>
      <c r="E6" s="8">
        <f>SUM(Valuation!$M$10:$M$14)</f>
        <v/>
      </c>
      <c r="F6" s="8">
        <f>C6-D6</f>
        <v/>
      </c>
      <c r="G6" s="13">
        <f>IFERROR(F6/C6,0)</f>
        <v/>
      </c>
      <c r="H6" s="8">
        <f>(Inputs!$B$11+E6)/2</f>
        <v/>
      </c>
      <c r="I6" s="14">
        <f>IFERROR(D6/H6,0)</f>
        <v/>
      </c>
      <c r="J6" s="14">
        <f>IFERROR(365/I6,0)</f>
        <v/>
      </c>
      <c r="K6" s="3" t="inlineStr">
        <is>
          <t>Lowest margin, fastest turnover</t>
        </is>
      </c>
    </row>
    <row r="7">
      <c r="A7" s="3" t="inlineStr">
        <is>
          <t>Weighted Average</t>
        </is>
      </c>
      <c r="B7" s="3">
        <f>Inputs!$B$7</f>
        <v/>
      </c>
      <c r="C7" s="8">
        <f>Inputs!$B$8</f>
        <v/>
      </c>
      <c r="D7" s="8">
        <f>Valuation!$B$20</f>
        <v/>
      </c>
      <c r="E7" s="8">
        <f>Valuation!$B$22</f>
        <v/>
      </c>
      <c r="F7" s="8">
        <f>C7-D7</f>
        <v/>
      </c>
      <c r="G7" s="13">
        <f>IFERROR(F7/C7,0)</f>
        <v/>
      </c>
      <c r="H7" s="8">
        <f>(Inputs!$B$11+E7)/2</f>
        <v/>
      </c>
      <c r="I7" s="14">
        <f>IFERROR(D7/H7,0)</f>
        <v/>
      </c>
      <c r="J7" s="14">
        <f>IFERROR(365/I7,0)</f>
        <v/>
      </c>
      <c r="K7" s="3" t="inlineStr">
        <is>
          <t>Balanced middle-ground view</t>
        </is>
      </c>
    </row>
    <row r="8">
      <c r="A8" s="3" t="inlineStr">
        <is>
          <t>Specific ID</t>
        </is>
      </c>
      <c r="B8" s="3">
        <f>Inputs!$B$7</f>
        <v/>
      </c>
      <c r="C8" s="8">
        <f>Inputs!$B$8</f>
        <v/>
      </c>
      <c r="D8" s="8">
        <f>SUM(Valuation!$O$10:$O$14)</f>
        <v/>
      </c>
      <c r="E8" s="8">
        <f>SUM(Valuation!$Q$10:$Q$14)</f>
        <v/>
      </c>
      <c r="F8" s="8">
        <f>C8-D8</f>
        <v/>
      </c>
      <c r="G8" s="13">
        <f>IFERROR(F8/C8,0)</f>
        <v/>
      </c>
      <c r="H8" s="8">
        <f>(Inputs!$B$11+E8)/2</f>
        <v/>
      </c>
      <c r="I8" s="14">
        <f>IFERROR(D8/H8,0)</f>
        <v/>
      </c>
      <c r="J8" s="14">
        <f>IFERROR(365/I8,0)</f>
        <v/>
      </c>
      <c r="K8" s="3" t="inlineStr">
        <is>
          <t>Precise but harder to scale</t>
        </is>
      </c>
    </row>
    <row r="11">
      <c r="A11" s="4" t="inlineStr">
        <is>
          <t>Transfer Prompt</t>
        </is>
      </c>
    </row>
    <row r="12">
      <c r="A12" s="15" t="inlineStr">
        <is>
          <t>If you had to defend one method in a project meeting, which row gives the clearest claim and what tradeoff would you have to explain?</t>
        </is>
      </c>
      <c r="B12" s="21" t="n"/>
      <c r="C12" s="21" t="n"/>
      <c r="D12" s="21" t="n"/>
      <c r="E12" s="21" t="n"/>
      <c r="F12" s="22" t="n"/>
    </row>
    <row r="13">
      <c r="A13" s="23" t="n"/>
      <c r="B13" s="24" t="n"/>
      <c r="C13" s="24" t="n"/>
      <c r="D13" s="24" t="n"/>
      <c r="E13" s="24" t="n"/>
      <c r="F13" s="25" t="n"/>
    </row>
  </sheetData>
  <mergeCells count="3">
    <mergeCell ref="A11:E11"/>
    <mergeCell ref="A1:K1"/>
    <mergeCell ref="A12:F1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48" customWidth="1" min="4" max="4"/>
  </cols>
  <sheetData>
    <row r="1">
      <c r="A1" s="1" t="inlineStr">
        <is>
          <t>Validation And Readiness Checks</t>
        </is>
      </c>
    </row>
    <row r="4">
      <c r="A4" s="5" t="inlineStr">
        <is>
          <t>Check</t>
        </is>
      </c>
      <c r="B4" s="5" t="inlineStr">
        <is>
          <t>What It Verifies</t>
        </is>
      </c>
      <c r="C4" s="5" t="inlineStr">
        <is>
          <t>Status</t>
        </is>
      </c>
      <c r="D4" s="5" t="inlineStr">
        <is>
          <t>Meaning</t>
        </is>
      </c>
    </row>
    <row r="5">
      <c r="A5" s="3" t="inlineStr">
        <is>
          <t>Missing SKU</t>
        </is>
      </c>
      <c r="B5" s="3" t="inlineStr">
        <is>
          <t>Every data sheet has a SKU entered.</t>
        </is>
      </c>
      <c r="C5" s="3">
        <f>IF(COUNTBLANK(BeginningInventory!$B$5)+COUNTBLANK(Purchases!$C$5:$C$8)+COUNTBLANK(Sales!$B$5:$B$7)=0,"OK","Check SKU entry")</f>
        <v/>
      </c>
      <c r="D5" s="3" t="inlineStr">
        <is>
          <t>Stops orphaned rows before totals roll up.</t>
        </is>
      </c>
    </row>
    <row r="6">
      <c r="A6" s="3" t="inlineStr">
        <is>
          <t>Invalid Unit Cost</t>
        </is>
      </c>
      <c r="B6" s="3" t="inlineStr">
        <is>
          <t>No zero or negative purchase costs appear.</t>
        </is>
      </c>
      <c r="C6" s="3">
        <f>IF(COUNTIF(BeginningInventory!$F$5:$F$5,"&lt;=0")+COUNTIF(Purchases!$F$5:$F$8,"&lt;=0")=0,"OK","Invalid unit cost")</f>
        <v/>
      </c>
      <c r="D6" s="3" t="inlineStr">
        <is>
          <t>Protects COGS and ending inventory math.</t>
        </is>
      </c>
    </row>
    <row r="7">
      <c r="A7" s="3" t="inlineStr">
        <is>
          <t>Sales vs Supply</t>
        </is>
      </c>
      <c r="B7" s="3" t="inlineStr">
        <is>
          <t>Units sold do not exceed goods available.</t>
        </is>
      </c>
      <c r="C7" s="3">
        <f>IF(Inputs!$B$7&lt;=Inputs!$B$9,"OK","Sales exceed supply")</f>
        <v/>
      </c>
      <c r="D7" s="3" t="inlineStr">
        <is>
          <t>Prevents impossible inventory positions.</t>
        </is>
      </c>
    </row>
    <row r="8">
      <c r="A8" s="3" t="inlineStr">
        <is>
          <t>FIFO Balance</t>
        </is>
      </c>
      <c r="B8" s="3" t="inlineStr">
        <is>
          <t>FIFO COGS + ending inventory = GAFS.</t>
        </is>
      </c>
      <c r="C8" s="3">
        <f>IF(ABS(SUM(Valuation!$G$10:$G$14)+SUM(Valuation!$I$10:$I$14)-Inputs!$B$10)&lt;0.01,"OK","GAFS mismatch")</f>
        <v/>
      </c>
      <c r="D8" s="3" t="inlineStr">
        <is>
          <t>Confirms FIFO layer math.</t>
        </is>
      </c>
    </row>
    <row r="9">
      <c r="A9" s="3" t="inlineStr">
        <is>
          <t>LIFO Balance</t>
        </is>
      </c>
      <c r="B9" s="3" t="inlineStr">
        <is>
          <t>LIFO COGS + ending inventory = GAFS.</t>
        </is>
      </c>
      <c r="C9" s="3">
        <f>IF(ABS(SUM(Valuation!$K$10:$K$14)+SUM(Valuation!$M$10:$M$14)-Inputs!$B$10)&lt;0.01,"OK","GAFS mismatch")</f>
        <v/>
      </c>
      <c r="D9" s="3" t="inlineStr">
        <is>
          <t>Confirms LIFO layer math.</t>
        </is>
      </c>
    </row>
    <row r="10">
      <c r="A10" s="3" t="inlineStr">
        <is>
          <t>Weighted Avg Balance</t>
        </is>
      </c>
      <c r="B10" s="3" t="inlineStr">
        <is>
          <t>Weighted Average totals reconcile.</t>
        </is>
      </c>
      <c r="C10" s="3">
        <f>IF(ABS(Valuation!$B$20+Valuation!$B$22-Inputs!$B$10)&lt;0.01,"OK","GAFS mismatch")</f>
        <v/>
      </c>
      <c r="D10" s="3" t="inlineStr">
        <is>
          <t>Confirms average-cost block.</t>
        </is>
      </c>
    </row>
    <row r="11">
      <c r="A11" s="3" t="inlineStr">
        <is>
          <t>Specific ID Balance</t>
        </is>
      </c>
      <c r="B11" s="3" t="inlineStr">
        <is>
          <t>Specific ID totals reconcile to GAFS.</t>
        </is>
      </c>
      <c r="C11" s="3">
        <f>IF(ABS(SUM(Valuation!$O$10:$O$14)+SUM(Valuation!$Q$10:$Q$14)-Inputs!$B$10)&lt;0.01,"OK","GAFS mismatch")</f>
        <v/>
      </c>
      <c r="D11" s="3" t="inlineStr">
        <is>
          <t>Confirms assignment log ties back to cost layers.</t>
        </is>
      </c>
    </row>
    <row r="12">
      <c r="A12" s="3" t="inlineStr">
        <is>
          <t>Assignment Total</t>
        </is>
      </c>
      <c r="B12" s="3" t="inlineStr">
        <is>
          <t>Specific ID assignments match units sold.</t>
        </is>
      </c>
      <c r="C12" s="3">
        <f>IF(SUM(Sales!$C$12:$C$20)=Inputs!$B$7,"OK","Assignment mismatch")</f>
        <v/>
      </c>
      <c r="D12" s="3" t="inlineStr">
        <is>
          <t>Catches missing or duplicate lot assignments.</t>
        </is>
      </c>
    </row>
    <row r="13">
      <c r="A13" s="3" t="inlineStr">
        <is>
          <t>Lot Capacity</t>
        </is>
      </c>
      <c r="B13" s="3" t="inlineStr">
        <is>
          <t>Specific ID assignments do not overuse any lot.</t>
        </is>
      </c>
      <c r="C13" s="3">
        <f>IF(MIN(Valuation!$P$10:$P$14)&gt;=0,"OK","Lot over-assigned")</f>
        <v/>
      </c>
      <c r="D13" s="3" t="inlineStr">
        <is>
          <t>Prevents negative units remaining.</t>
        </is>
      </c>
    </row>
    <row r="14">
      <c r="A14" s="3" t="inlineStr">
        <is>
          <t>Dashboard Snapshot</t>
        </is>
      </c>
      <c r="B14" s="3" t="inlineStr">
        <is>
          <t>Dashboard selected-method cells are all linked.</t>
        </is>
      </c>
      <c r="C14" s="3">
        <f>IF(COUNTA(Dashboard!$C$4:$C$10)=7,"OK","Finish dashboard links")</f>
        <v/>
      </c>
      <c r="D14" s="3" t="inlineStr">
        <is>
          <t>Prepares the workbook for investor reading.</t>
        </is>
      </c>
    </row>
    <row r="15">
      <c r="A15" s="3" t="inlineStr">
        <is>
          <t>Recommendation Draft</t>
        </is>
      </c>
      <c r="B15" s="3" t="inlineStr">
        <is>
          <t>Recommendation has claim, evidence, comparison, risk, and final defense.</t>
        </is>
      </c>
      <c r="C15" s="3">
        <f>IF(AND(LEN(Recommendation!$B$7)&gt;0,LEN(Recommendation!$B$8)&gt;0,LEN(Recommendation!$B$9)&gt;0,LEN(Recommendation!$B$10)&gt;0,LEN(Recommendation!$B$11)&gt;0,LEN(Recommendation!$B$12)&gt;0),"OK","Finish recommendation")</f>
        <v/>
      </c>
      <c r="D15" s="3" t="inlineStr">
        <is>
          <t>Confirms the evidence chain reaches the final claim.</t>
        </is>
      </c>
    </row>
    <row r="16">
      <c r="A16" s="3" t="inlineStr">
        <is>
          <t>Date Freshness</t>
        </is>
      </c>
      <c r="B16" s="3" t="inlineStr">
        <is>
          <t>Transactions sit inside one active January window.</t>
        </is>
      </c>
      <c r="C16" s="3">
        <f>IF(MAX(BeginningInventory!$D$5,Purchases!$D$5,Purchases!$D$6,Purchases!$D$7,Purchases!$D$8,Sales!$C$5,Sales!$C$6,Sales!$C$7)-MIN(BeginningInventory!$D$5,Purchases!$D$5,Purchases!$D$6,Purchases!$D$7,Purchases!$D$8,Sales!$C$5,Sales!$C$6,Sales!$C$7)&lt;=60,"OK","Check stale dates")</f>
        <v/>
      </c>
      <c r="D16" s="3" t="inlineStr">
        <is>
          <t>Flags old dates before lessons 08-10 use new datasets.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2" max="2"/>
    <col width="26" customWidth="1" min="3" max="3"/>
    <col width="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Investor Snapshot Dashboard</t>
        </is>
      </c>
    </row>
    <row r="3">
      <c r="A3" s="4" t="inlineStr">
        <is>
          <t>Selected Method Snapshot</t>
        </is>
      </c>
    </row>
    <row r="4">
      <c r="B4" s="10" t="inlineStr">
        <is>
          <t>Selected Method</t>
        </is>
      </c>
      <c r="C4" s="12">
        <f>Inputs!$B$5</f>
        <v/>
      </c>
    </row>
    <row r="5">
      <c r="B5" s="10" t="inlineStr">
        <is>
          <t>Revenue</t>
        </is>
      </c>
      <c r="C5" s="16" t="n"/>
    </row>
    <row r="6">
      <c r="B6" s="10" t="inlineStr">
        <is>
          <t>COGS</t>
        </is>
      </c>
      <c r="C6" s="16" t="n"/>
    </row>
    <row r="7">
      <c r="B7" s="10" t="inlineStr">
        <is>
          <t>Ending Inventory</t>
        </is>
      </c>
      <c r="C7" s="16" t="n"/>
    </row>
    <row r="8">
      <c r="B8" s="10" t="inlineStr">
        <is>
          <t>Gross Margin %</t>
        </is>
      </c>
      <c r="C8" s="17" t="n"/>
    </row>
    <row r="9">
      <c r="B9" s="10" t="inlineStr">
        <is>
          <t>Turnover</t>
        </is>
      </c>
      <c r="C9" s="18" t="n"/>
    </row>
    <row r="10">
      <c r="B10" s="10" t="inlineStr">
        <is>
          <t>Days On Hand</t>
        </is>
      </c>
      <c r="C10" s="18" t="n"/>
    </row>
    <row r="12">
      <c r="A12" s="4" t="inlineStr">
        <is>
          <t>Workbook Status</t>
        </is>
      </c>
    </row>
    <row r="13">
      <c r="B13" s="19" t="inlineStr">
        <is>
          <t>Open Checks</t>
        </is>
      </c>
      <c r="C13" s="12">
        <f>COUNTIF(Checks!$C$5:$C$16,"&lt;&gt;OK")</f>
        <v/>
      </c>
    </row>
    <row r="14">
      <c r="B14" s="19" t="inlineStr">
        <is>
          <t>Peer Audit Ready?</t>
        </is>
      </c>
      <c r="C14" s="12">
        <f>IF(C13=0,"Yes","Not yet")</f>
        <v/>
      </c>
    </row>
    <row r="15">
      <c r="B15" s="19" t="inlineStr">
        <is>
          <t>Teacher Move</t>
        </is>
      </c>
      <c r="C15" s="3" t="inlineStr">
        <is>
          <t>Use the open checks to decide which weak spot gets fixed first.</t>
        </is>
      </c>
    </row>
    <row r="17">
      <c r="B17" s="20" t="inlineStr">
        <is>
          <t>Student task</t>
        </is>
      </c>
      <c r="C17" s="15" t="inlineStr">
        <is>
          <t>Use INDEX/MATCH from MethodCompare so the selected method snapshot updates cleanly.</t>
        </is>
      </c>
    </row>
  </sheetData>
  <mergeCells count="3">
    <mergeCell ref="A12:D12"/>
    <mergeCell ref="A3:D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92" customWidth="1" min="2" max="2"/>
    <col width="18" customWidth="1" min="3" max="3"/>
  </cols>
  <sheetData>
    <row r="1">
      <c r="A1" s="1" t="inlineStr">
        <is>
          <t>Recommendation Sheet</t>
        </is>
      </c>
    </row>
    <row r="3">
      <c r="A3" s="4" t="inlineStr">
        <is>
          <t>Claim + Evidence + Risk</t>
        </is>
      </c>
    </row>
    <row r="5">
      <c r="A5" s="10" t="inlineStr">
        <is>
          <t>Recommended Method</t>
        </is>
      </c>
      <c r="B5" s="12">
        <f>Inputs!$B$5</f>
        <v/>
      </c>
    </row>
    <row r="7">
      <c r="A7" s="10" t="inlineStr">
        <is>
          <t>Claim</t>
        </is>
      </c>
      <c r="B7" s="6" t="n"/>
    </row>
    <row r="8">
      <c r="A8" s="10" t="inlineStr">
        <is>
          <t>Evidence 1 - Cost + ending inventory</t>
        </is>
      </c>
      <c r="B8" s="6" t="n"/>
    </row>
    <row r="9">
      <c r="A9" s="10" t="inlineStr">
        <is>
          <t>Evidence 2 - Turnover + days on hand</t>
        </is>
      </c>
      <c r="B9" s="6" t="n"/>
    </row>
    <row r="10">
      <c r="A10" s="10" t="inlineStr">
        <is>
          <t>Comparison to another method</t>
        </is>
      </c>
      <c r="B10" s="6" t="n"/>
    </row>
    <row r="11">
      <c r="A11" s="10" t="inlineStr">
        <is>
          <t>Risk / Limitation</t>
        </is>
      </c>
      <c r="B11" s="6" t="n"/>
    </row>
    <row r="12">
      <c r="A12" s="10" t="inlineStr">
        <is>
          <t>Final Recommendation</t>
        </is>
      </c>
      <c r="B12" s="6" t="n"/>
    </row>
    <row r="14">
      <c r="A14" s="20" t="inlineStr">
        <is>
          <t>Transfer reminder</t>
        </is>
      </c>
      <c r="B14" s="15" t="inlineStr">
        <is>
          <t>Use only this starter workbook for your group. Keep the Lesson 07 tab structure, finish the dashboard snapshot, and build the recommendation across Lessons 08-10.</t>
        </is>
      </c>
    </row>
  </sheetData>
  <mergeCells count="2">
    <mergeCell ref="A1:F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2026-04-07T07:54:16Z</dcterms:created>
  <dcterms:modified xmlns:dcterms="http://purl.org/dc/terms/" xmlns:xsi="http://www.w3.org/2001/XMLSchema-instance" xsi:type="dcterms:W3CDTF">2026-04-08T23:51:14Z</dcterms:modified>
</cp:coreProperties>
</file>