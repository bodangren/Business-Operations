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755" windowHeight="14535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Forecasting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Recommendatio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Day</t>
        </is>
      </c>
      <c r="E1" t="inlineStr">
        <is>
          <t>SalesAmount</t>
        </is>
      </c>
    </row>
    <row r="2">
      <c r="A2" t="inlineStr">
        <is>
          <t>ORD-101</t>
        </is>
      </c>
      <c r="B2" t="inlineStr">
        <is>
          <t>Delilah Moore</t>
        </is>
      </c>
      <c r="C2" t="inlineStr">
        <is>
          <t>Cold Brew</t>
        </is>
      </c>
      <c r="D2" t="inlineStr">
        <is>
          <t>Monday</t>
        </is>
      </c>
      <c r="E2" t="n">
        <v>185.5</v>
      </c>
    </row>
    <row r="3">
      <c r="A3" t="inlineStr">
        <is>
          <t>ORD-102</t>
        </is>
      </c>
      <c r="B3" t="inlineStr">
        <is>
          <t>Martin Perez</t>
        </is>
      </c>
      <c r="C3" t="inlineStr">
        <is>
          <t>Bagel Box</t>
        </is>
      </c>
      <c r="D3" t="inlineStr">
        <is>
          <t>Tuesday</t>
        </is>
      </c>
      <c r="E3" t="n">
        <v>142.75</v>
      </c>
    </row>
    <row r="4">
      <c r="A4" t="inlineStr">
        <is>
          <t>ORD-103</t>
        </is>
      </c>
      <c r="B4" t="inlineStr">
        <is>
          <t>Linh Tran</t>
        </is>
      </c>
      <c r="C4" t="inlineStr">
        <is>
          <t>Cold Brew</t>
        </is>
      </c>
      <c r="D4" t="inlineStr">
        <is>
          <t>Wednesday</t>
        </is>
      </c>
      <c r="E4" t="n">
        <v>198.25</v>
      </c>
    </row>
    <row r="5">
      <c r="A5" t="inlineStr">
        <is>
          <t>ORD-104</t>
        </is>
      </c>
      <c r="B5" t="inlineStr">
        <is>
          <t>Riley Chen</t>
        </is>
      </c>
      <c r="C5" t="inlineStr">
        <is>
          <t>Overnight Oats</t>
        </is>
      </c>
      <c r="D5" t="inlineStr">
        <is>
          <t>Thursday</t>
        </is>
      </c>
      <c r="E5" t="n">
        <v>156.8</v>
      </c>
    </row>
    <row r="6">
      <c r="A6" t="inlineStr">
        <is>
          <t>ORD-107</t>
        </is>
      </c>
      <c r="B6" t="inlineStr">
        <is>
          <t>Linh Tran</t>
        </is>
      </c>
      <c r="C6" t="inlineStr">
        <is>
          <t>Energy Muffins</t>
        </is>
      </c>
      <c r="D6" t="inlineStr">
        <is>
          <t>Wednesday</t>
        </is>
      </c>
      <c r="E6" t="n">
        <v>167.2</v>
      </c>
    </row>
    <row r="7">
      <c r="A7" t="inlineStr">
        <is>
          <t>ORD-108</t>
        </is>
      </c>
      <c r="B7" t="inlineStr">
        <is>
          <t>Ava Singh</t>
        </is>
      </c>
      <c r="C7" t="inlineStr">
        <is>
          <t>Protein Smoothie</t>
        </is>
      </c>
      <c r="D7" t="inlineStr">
        <is>
          <t>Friday</t>
        </is>
      </c>
      <c r="E7" t="n">
        <v>214.9</v>
      </c>
    </row>
    <row r="8">
      <c r="A8" t="inlineStr">
        <is>
          <t>ORD-110</t>
        </is>
      </c>
      <c r="B8" t="inlineStr">
        <is>
          <t>Noah Patel</t>
        </is>
      </c>
      <c r="C8" t="inlineStr">
        <is>
          <t>Energy Muffins</t>
        </is>
      </c>
      <c r="D8" t="inlineStr">
        <is>
          <t>Saturday</t>
        </is>
      </c>
      <c r="E8" t="n">
        <v>172.4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Average Sales</t>
        </is>
      </c>
    </row>
    <row r="2">
      <c r="A2" t="inlineStr">
        <is>
          <t>Monday</t>
        </is>
      </c>
      <c r="B2">
        <f>AVERAGEIF(CleanedSales!D:D,"Monday",CleanedSales!E:E)</f>
        <v/>
      </c>
    </row>
    <row r="3">
      <c r="A3" t="inlineStr">
        <is>
          <t>Tuesday</t>
        </is>
      </c>
      <c r="B3">
        <f>AVERAGEIF(CleanedSales!D:D,"Tuesday",CleanedSales!E:E)</f>
        <v/>
      </c>
    </row>
    <row r="4">
      <c r="A4" t="inlineStr">
        <is>
          <t>Wednesday</t>
        </is>
      </c>
      <c r="B4">
        <f>AVERAGEIF(CleanedSales!D:D,"Wednesday",CleanedSales!E:E)</f>
        <v/>
      </c>
    </row>
    <row r="5">
      <c r="A5" t="inlineStr">
        <is>
          <t>Thursday</t>
        </is>
      </c>
      <c r="B5">
        <f>AVERAGEIF(CleanedSales!D:D,"Thursday",CleanedSales!E:E)</f>
        <v/>
      </c>
    </row>
    <row r="6">
      <c r="A6" t="inlineStr">
        <is>
          <t>Friday</t>
        </is>
      </c>
      <c r="B6">
        <f>AVERAGEIF(CleanedSales!D:D,"Friday",CleanedSales!E:E)</f>
        <v/>
      </c>
    </row>
    <row r="7">
      <c r="A7" t="inlineStr">
        <is>
          <t>Saturday</t>
        </is>
      </c>
      <c r="B7">
        <f>AVERAGEIF(CleanedSales!D:D,"Saturday",CleanedSales!E:E)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Forecast</t>
        </is>
      </c>
    </row>
    <row r="2">
      <c r="A2" t="n">
        <v>1</v>
      </c>
      <c r="B2" t="n">
        <v>9600</v>
      </c>
    </row>
    <row r="3">
      <c r="A3" t="n">
        <v>2</v>
      </c>
      <c r="B3" t="n">
        <v>10020</v>
      </c>
    </row>
    <row r="4">
      <c r="A4" t="n">
        <v>3</v>
      </c>
      <c r="B4" t="n">
        <v>10450</v>
      </c>
    </row>
    <row r="5">
      <c r="A5" t="n">
        <v>4</v>
      </c>
      <c r="B5" t="n">
        <v>10980</v>
      </c>
    </row>
    <row r="6">
      <c r="A6" t="n">
        <v>5</v>
      </c>
      <c r="B6" t="n">
        <v>11520</v>
      </c>
    </row>
    <row r="7">
      <c r="A7" t="n">
        <v>6</v>
      </c>
      <c r="B7" t="n">
        <v>11950</v>
      </c>
    </row>
    <row r="8">
      <c r="A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</cols>
  <sheetData>
    <row r="1">
      <c r="A1" s="2" t="inlineStr">
        <is>
          <t>Dashboard</t>
        </is>
      </c>
    </row>
    <row r="3">
      <c r="A3" t="inlineStr">
        <is>
          <t>Build at least two visuals from Analysis and Forecasting results.</t>
        </is>
      </c>
    </row>
    <row r="4">
      <c r="A4" t="inlineStr">
        <is>
          <t>Suggested charts: Sales by Day, Monthly Trend with Forecast.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Recommendation</t>
        </is>
      </c>
    </row>
    <row r="3">
      <c r="A3" t="inlineStr">
        <is>
          <t>Claim:</t>
        </is>
      </c>
    </row>
    <row r="4">
      <c r="A4" t="inlineStr">
        <is>
          <t>Evidence (cite 3+ workbook values):</t>
        </is>
      </c>
    </row>
    <row r="5">
      <c r="A5" t="inlineStr">
        <is>
          <t>Risk/Limitation: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 for Business Operations</dc:creator>
  <dcterms:created xmlns:dcterms="http://purl.org/dc/terms/" xmlns:xsi="http://www.w3.org/2001/XMLSchema-instance" xsi:type="dcterms:W3CDTF">2025-02-13T12:00:00Z</dcterms:created>
  <dcterms:modified xmlns:dcterms="http://purl.org/dc/terms/" xmlns:xsi="http://www.w3.org/2001/XMLSchema-instance" xsi:type="dcterms:W3CDTF">2026-04-03T01:39:51Z</dcterms:modified>
  <cp:lastModifiedBy>Math for Business Operations</cp:lastModifiedBy>
</cp:coreProperties>
</file>