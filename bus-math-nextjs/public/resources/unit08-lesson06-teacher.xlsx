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Partial-Year Depreciation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Mini Income Statement" sheetId="4" state="visible" r:id="rId4"/>
    <sheet xmlns:r="http://schemas.openxmlformats.org/officeDocument/2006/relationships" name="Mini Balance Sheet" sheetId="5" state="visible" r:id="rId5"/>
    <sheet xmlns:r="http://schemas.openxmlformats.org/officeDocument/2006/relationships" name="Recommendation Evidence" sheetId="6" state="visible" r:id="rId6"/>
    <sheet xmlns:r="http://schemas.openxmlformats.org/officeDocument/2006/relationships" name="Formula Reference" sheetId="7" state="visible" r:id="rId7"/>
    <sheet xmlns:r="http://schemas.openxmlformats.org/officeDocument/2006/relationships" name="Submission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m/d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1" pivotButton="0" quotePrefix="0" xfId="0"/>
    <xf numFmtId="0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wrapText="1"/>
    </xf>
    <xf numFmtId="0" fontId="2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</author>
  </authors>
  <commentList>
    <comment ref="B7" authorId="0" shapeId="0">
      <text>
        <t>Pull or write the value you will cite in your memo.</t>
      </text>
    </comment>
  </commentList>
</comments>
</file>

<file path=xl/tables/table1.xml><?xml version="1.0" encoding="utf-8"?>
<table xmlns="http://schemas.openxmlformats.org/spreadsheetml/2006/main" id="1" name="AssetData" displayName="AssetData" ref="A3:H6" headerRowCount="1">
  <autoFilter ref="A3:H6"/>
  <tableColumns count="8">
    <tableColumn id="1" name="Asset ID"/>
    <tableColumn id="2" name="Description"/>
    <tableColumn id="3" name="Cost"/>
    <tableColumn id="4" name="Salvage Value"/>
    <tableColumn id="5" name="Useful Life"/>
    <tableColumn id="6" name="Purchase Date"/>
    <tableColumn id="7" name="Months in Service"/>
    <tableColumn id="8" name="Depreciable 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Partial-Year Asset Register - Teacher Key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Salvage Value</t>
        </is>
      </c>
      <c r="E3" s="2" t="inlineStr">
        <is>
          <t>Useful Life</t>
        </is>
      </c>
      <c r="F3" s="2" t="inlineStr">
        <is>
          <t>Purchase Date</t>
        </is>
      </c>
      <c r="G3" s="2" t="inlineStr">
        <is>
          <t>Months in Service</t>
        </is>
      </c>
      <c r="H3" s="2" t="inlineStr">
        <is>
          <t>Depreciable Base</t>
        </is>
      </c>
    </row>
    <row r="4">
      <c r="A4" s="3" t="inlineStr">
        <is>
          <t>A-001</t>
        </is>
      </c>
      <c r="B4" s="3" t="inlineStr">
        <is>
          <t>Delivery Van</t>
        </is>
      </c>
      <c r="C4" s="4" t="n">
        <v>30000</v>
      </c>
      <c r="D4" s="4" t="n">
        <v>5000</v>
      </c>
      <c r="E4" s="3" t="n">
        <v>5</v>
      </c>
      <c r="F4" s="5" t="inlineStr">
        <is>
          <t>4/1/2025</t>
        </is>
      </c>
      <c r="G4" s="3" t="n">
        <v>9</v>
      </c>
      <c r="H4" s="6">
        <f>C4-D4</f>
        <v/>
      </c>
    </row>
    <row r="5">
      <c r="A5" s="3" t="inlineStr">
        <is>
          <t>A-002</t>
        </is>
      </c>
      <c r="B5" s="3" t="inlineStr">
        <is>
          <t>Laptop Set</t>
        </is>
      </c>
      <c r="C5" s="4" t="n">
        <v>12000</v>
      </c>
      <c r="D5" s="4" t="n">
        <v>2000</v>
      </c>
      <c r="E5" s="3" t="n">
        <v>4</v>
      </c>
      <c r="F5" s="5" t="inlineStr">
        <is>
          <t>7/1/2025</t>
        </is>
      </c>
      <c r="G5" s="3" t="n">
        <v>6</v>
      </c>
      <c r="H5" s="6">
        <f>C5-D5</f>
        <v/>
      </c>
    </row>
    <row r="6">
      <c r="A6" s="3" t="inlineStr">
        <is>
          <t>A-003</t>
        </is>
      </c>
      <c r="B6" s="3" t="inlineStr">
        <is>
          <t>Server Rack</t>
        </is>
      </c>
      <c r="C6" s="4" t="n">
        <v>8000</v>
      </c>
      <c r="D6" s="4" t="n">
        <v>800</v>
      </c>
      <c r="E6" s="3" t="n">
        <v>3</v>
      </c>
      <c r="F6" s="5" t="inlineStr">
        <is>
          <t>10/1/2025</t>
        </is>
      </c>
      <c r="G6" s="3" t="n">
        <v>3</v>
      </c>
      <c r="H6" s="6">
        <f>C6-D6</f>
        <v/>
      </c>
    </row>
    <row r="9">
      <c r="A9" s="7" t="inlineStr">
        <is>
          <t>Teacher key</t>
        </is>
      </c>
    </row>
    <row r="10">
      <c r="A10" s="8" t="inlineStr">
        <is>
          <t>Completed key: formulas link from AssetData through partial-year depreciation, method comparison, and mini statements.</t>
        </is>
      </c>
    </row>
  </sheetData>
  <mergeCells count="2">
    <mergeCell ref="A10:H10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3" customWidth="1" min="3" max="3"/>
    <col width="13" customWidth="1" min="4" max="4"/>
    <col width="10" customWidth="1" min="5" max="5"/>
    <col width="10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Partial-Year Depreciation - Teacher Key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Salvage</t>
        </is>
      </c>
      <c r="E3" s="2" t="inlineStr">
        <is>
          <t>Life</t>
        </is>
      </c>
      <c r="F3" s="2" t="inlineStr">
        <is>
          <t>Months</t>
        </is>
      </c>
      <c r="G3" s="2" t="inlineStr">
        <is>
          <t>SLN Full-Year</t>
        </is>
      </c>
      <c r="H3" s="2" t="inlineStr">
        <is>
          <t>DDB Full-Year</t>
        </is>
      </c>
      <c r="I3" s="2" t="inlineStr">
        <is>
          <t>SL Year 1</t>
        </is>
      </c>
      <c r="J3" s="2" t="inlineStr">
        <is>
          <t>DDB Year 1</t>
        </is>
      </c>
      <c r="K3" s="2" t="inlineStr">
        <is>
          <t>SL End BV</t>
        </is>
      </c>
      <c r="L3" s="2" t="inlineStr">
        <is>
          <t>DDB End BV</t>
        </is>
      </c>
      <c r="M3" s="2" t="inlineStr">
        <is>
          <t>Check</t>
        </is>
      </c>
    </row>
    <row r="4">
      <c r="A4" s="9" t="inlineStr">
        <is>
          <t>A-001</t>
        </is>
      </c>
      <c r="B4" s="10">
        <f>XLOOKUP($A4,AssetData[Asset ID],AssetData[Description],"")</f>
        <v/>
      </c>
      <c r="C4" s="6">
        <f>XLOOKUP($A4,AssetData[Asset ID],AssetData[Cost],"")</f>
        <v/>
      </c>
      <c r="D4" s="6">
        <f>XLOOKUP($A4,AssetData[Asset ID],AssetData[Salvage Value],"")</f>
        <v/>
      </c>
      <c r="E4" s="10">
        <f>XLOOKUP($A4,AssetData[Asset ID],AssetData[Useful Life],"")</f>
        <v/>
      </c>
      <c r="F4" s="10">
        <f>XLOOKUP($A4,AssetData[Asset ID],AssetData[Months in Service],"")</f>
        <v/>
      </c>
      <c r="G4" s="11">
        <f>SLN(C4,D4,E4)</f>
        <v/>
      </c>
      <c r="H4" s="11">
        <f>DDB(C4,D4,E4,1)</f>
        <v/>
      </c>
      <c r="I4" s="11">
        <f>G4*F4/12</f>
        <v/>
      </c>
      <c r="J4" s="11">
        <f>H4*F4/12</f>
        <v/>
      </c>
      <c r="K4" s="11">
        <f>C4-I4</f>
        <v/>
      </c>
      <c r="L4" s="11">
        <f>C4-J4</f>
        <v/>
      </c>
      <c r="M4" s="10">
        <f>IF(AND(ROUND(K4,2)=ROUND(C4-I4,2),ROUND(L4,2)=ROUND(C4-J4,2)),"OK","ERROR")</f>
        <v/>
      </c>
    </row>
    <row r="5">
      <c r="A5" s="9" t="inlineStr">
        <is>
          <t>A-002</t>
        </is>
      </c>
      <c r="B5" s="10">
        <f>XLOOKUP($A5,AssetData[Asset ID],AssetData[Description],"")</f>
        <v/>
      </c>
      <c r="C5" s="6">
        <f>XLOOKUP($A5,AssetData[Asset ID],AssetData[Cost],"")</f>
        <v/>
      </c>
      <c r="D5" s="6">
        <f>XLOOKUP($A5,AssetData[Asset ID],AssetData[Salvage Value],"")</f>
        <v/>
      </c>
      <c r="E5" s="10">
        <f>XLOOKUP($A5,AssetData[Asset ID],AssetData[Useful Life],"")</f>
        <v/>
      </c>
      <c r="F5" s="10">
        <f>XLOOKUP($A5,AssetData[Asset ID],AssetData[Months in Service],"")</f>
        <v/>
      </c>
      <c r="G5" s="11">
        <f>SLN(C5,D5,E5)</f>
        <v/>
      </c>
      <c r="H5" s="11">
        <f>DDB(C5,D5,E5,1)</f>
        <v/>
      </c>
      <c r="I5" s="11">
        <f>G5*F5/12</f>
        <v/>
      </c>
      <c r="J5" s="11">
        <f>H5*F5/12</f>
        <v/>
      </c>
      <c r="K5" s="11">
        <f>C5-I5</f>
        <v/>
      </c>
      <c r="L5" s="11">
        <f>C5-J5</f>
        <v/>
      </c>
      <c r="M5" s="10">
        <f>IF(AND(ROUND(K5,2)=ROUND(C5-I5,2),ROUND(L5,2)=ROUND(C5-J5,2)),"OK","ERROR")</f>
        <v/>
      </c>
    </row>
    <row r="6">
      <c r="A6" s="9" t="inlineStr">
        <is>
          <t>A-003</t>
        </is>
      </c>
      <c r="B6" s="10">
        <f>XLOOKUP($A6,AssetData[Asset ID],AssetData[Description],"")</f>
        <v/>
      </c>
      <c r="C6" s="6">
        <f>XLOOKUP($A6,AssetData[Asset ID],AssetData[Cost],"")</f>
        <v/>
      </c>
      <c r="D6" s="6">
        <f>XLOOKUP($A6,AssetData[Asset ID],AssetData[Salvage Value],"")</f>
        <v/>
      </c>
      <c r="E6" s="10">
        <f>XLOOKUP($A6,AssetData[Asset ID],AssetData[Useful Life],"")</f>
        <v/>
      </c>
      <c r="F6" s="10">
        <f>XLOOKUP($A6,AssetData[Asset ID],AssetData[Months in Service],"")</f>
        <v/>
      </c>
      <c r="G6" s="11">
        <f>SLN(C6,D6,E6)</f>
        <v/>
      </c>
      <c r="H6" s="11">
        <f>DDB(C6,D6,E6,1)</f>
        <v/>
      </c>
      <c r="I6" s="11">
        <f>G6*F6/12</f>
        <v/>
      </c>
      <c r="J6" s="11">
        <f>H6*F6/12</f>
        <v/>
      </c>
      <c r="K6" s="11">
        <f>C6-I6</f>
        <v/>
      </c>
      <c r="L6" s="11">
        <f>C6-J6</f>
        <v/>
      </c>
      <c r="M6" s="10">
        <f>IF(AND(ROUND(K6,2)=ROUND(C6-I6,2),ROUND(L6,2)=ROUND(C6-J6,2)),"OK","ERROR")</f>
        <v/>
      </c>
    </row>
    <row r="8">
      <c r="A8" s="7" t="inlineStr">
        <is>
          <t>Required formula ideas</t>
        </is>
      </c>
    </row>
    <row r="9">
      <c r="A9" s="12" t="inlineStr">
        <is>
          <t>Lookup asset fields from AssetData with XLOOKUP.</t>
        </is>
      </c>
    </row>
    <row r="10">
      <c r="A10" s="12" t="inlineStr">
        <is>
          <t>SL Year 1 = SLN(cost, salvage, life) * months / 12.</t>
        </is>
      </c>
    </row>
    <row r="11">
      <c r="A11" s="12" t="inlineStr">
        <is>
          <t>DDB Year 1 = DDB(cost, salvage, life, 1) * months / 12.</t>
        </is>
      </c>
    </row>
    <row r="12">
      <c r="A12" s="12" t="inlineStr">
        <is>
          <t>Ending Book Value = Cost - Year 1 Depreciation.</t>
        </is>
      </c>
    </row>
  </sheetData>
  <mergeCells count="5">
    <mergeCell ref="A1:M1"/>
    <mergeCell ref="A12:M12"/>
    <mergeCell ref="A9:M9"/>
    <mergeCell ref="A11:M11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Method Comparison - Teacher Key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Months</t>
        </is>
      </c>
      <c r="D3" s="2" t="inlineStr">
        <is>
          <t>SL Year 1</t>
        </is>
      </c>
      <c r="E3" s="2" t="inlineStr">
        <is>
          <t>DDB Year 1</t>
        </is>
      </c>
      <c r="F3" s="2" t="inlineStr">
        <is>
          <t>DDB Higher By</t>
        </is>
      </c>
      <c r="G3" s="2" t="inlineStr">
        <is>
          <t>SL End BV</t>
        </is>
      </c>
      <c r="H3" s="2" t="inlineStr">
        <is>
          <t>DDB End BV</t>
        </is>
      </c>
      <c r="I3" s="2" t="inlineStr">
        <is>
          <t>BV Difference</t>
        </is>
      </c>
      <c r="J3" s="2" t="inlineStr">
        <is>
          <t>Profit Signal</t>
        </is>
      </c>
    </row>
    <row r="4">
      <c r="A4" s="9" t="inlineStr">
        <is>
          <t>A-001</t>
        </is>
      </c>
      <c r="B4" s="10">
        <f>XLOOKUP($A4,'Partial-Year Depreciation'!$A$4:$A$6,'Partial-Year Depreciation'!$B$4:$B$6,"")</f>
        <v/>
      </c>
      <c r="C4" s="10">
        <f>XLOOKUP($A4,'Partial-Year Depreciation'!$A$4:$A$6,'Partial-Year Depreciation'!$F$4:$F$6,"")</f>
        <v/>
      </c>
      <c r="D4" s="11">
        <f>XLOOKUP($A4,'Partial-Year Depreciation'!$A$4:$A$6,'Partial-Year Depreciation'!$I$4:$I$6,"")</f>
        <v/>
      </c>
      <c r="E4" s="11">
        <f>XLOOKUP($A4,'Partial-Year Depreciation'!$A$4:$A$6,'Partial-Year Depreciation'!$J$4:$J$6,"")</f>
        <v/>
      </c>
      <c r="F4" s="11">
        <f>E4-D4</f>
        <v/>
      </c>
      <c r="G4" s="11">
        <f>XLOOKUP($A4,'Partial-Year Depreciation'!$A$4:$A$6,'Partial-Year Depreciation'!$K$4:$K$6,"")</f>
        <v/>
      </c>
      <c r="H4" s="11">
        <f>XLOOKUP($A4,'Partial-Year Depreciation'!$A$4:$A$6,'Partial-Year Depreciation'!$L$4:$L$6,"")</f>
        <v/>
      </c>
      <c r="I4" s="11">
        <f>H4-G4</f>
        <v/>
      </c>
      <c r="J4" s="10">
        <f>IF(F4&gt;0,"SL reports higher Year 1 income","No DDB premium")</f>
        <v/>
      </c>
    </row>
    <row r="5">
      <c r="A5" s="9" t="inlineStr">
        <is>
          <t>A-002</t>
        </is>
      </c>
      <c r="B5" s="10">
        <f>XLOOKUP($A5,'Partial-Year Depreciation'!$A$4:$A$6,'Partial-Year Depreciation'!$B$4:$B$6,"")</f>
        <v/>
      </c>
      <c r="C5" s="10">
        <f>XLOOKUP($A5,'Partial-Year Depreciation'!$A$4:$A$6,'Partial-Year Depreciation'!$F$4:$F$6,"")</f>
        <v/>
      </c>
      <c r="D5" s="11">
        <f>XLOOKUP($A5,'Partial-Year Depreciation'!$A$4:$A$6,'Partial-Year Depreciation'!$I$4:$I$6,"")</f>
        <v/>
      </c>
      <c r="E5" s="11">
        <f>XLOOKUP($A5,'Partial-Year Depreciation'!$A$4:$A$6,'Partial-Year Depreciation'!$J$4:$J$6,"")</f>
        <v/>
      </c>
      <c r="F5" s="11">
        <f>E5-D5</f>
        <v/>
      </c>
      <c r="G5" s="11">
        <f>XLOOKUP($A5,'Partial-Year Depreciation'!$A$4:$A$6,'Partial-Year Depreciation'!$K$4:$K$6,"")</f>
        <v/>
      </c>
      <c r="H5" s="11">
        <f>XLOOKUP($A5,'Partial-Year Depreciation'!$A$4:$A$6,'Partial-Year Depreciation'!$L$4:$L$6,"")</f>
        <v/>
      </c>
      <c r="I5" s="11">
        <f>H5-G5</f>
        <v/>
      </c>
      <c r="J5" s="10">
        <f>IF(F5&gt;0,"SL reports higher Year 1 income","No DDB premium")</f>
        <v/>
      </c>
    </row>
    <row r="6">
      <c r="A6" s="9" t="inlineStr">
        <is>
          <t>A-003</t>
        </is>
      </c>
      <c r="B6" s="10">
        <f>XLOOKUP($A6,'Partial-Year Depreciation'!$A$4:$A$6,'Partial-Year Depreciation'!$B$4:$B$6,"")</f>
        <v/>
      </c>
      <c r="C6" s="10">
        <f>XLOOKUP($A6,'Partial-Year Depreciation'!$A$4:$A$6,'Partial-Year Depreciation'!$F$4:$F$6,"")</f>
        <v/>
      </c>
      <c r="D6" s="11">
        <f>XLOOKUP($A6,'Partial-Year Depreciation'!$A$4:$A$6,'Partial-Year Depreciation'!$I$4:$I$6,"")</f>
        <v/>
      </c>
      <c r="E6" s="11">
        <f>XLOOKUP($A6,'Partial-Year Depreciation'!$A$4:$A$6,'Partial-Year Depreciation'!$J$4:$J$6,"")</f>
        <v/>
      </c>
      <c r="F6" s="11">
        <f>E6-D6</f>
        <v/>
      </c>
      <c r="G6" s="11">
        <f>XLOOKUP($A6,'Partial-Year Depreciation'!$A$4:$A$6,'Partial-Year Depreciation'!$K$4:$K$6,"")</f>
        <v/>
      </c>
      <c r="H6" s="11">
        <f>XLOOKUP($A6,'Partial-Year Depreciation'!$A$4:$A$6,'Partial-Year Depreciation'!$L$4:$L$6,"")</f>
        <v/>
      </c>
      <c r="I6" s="11">
        <f>H6-G6</f>
        <v/>
      </c>
      <c r="J6" s="10">
        <f>IF(F6&gt;0,"SL reports higher Year 1 income","No DDB premium")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Mini Income Statement - Teacher Key</t>
        </is>
      </c>
    </row>
    <row r="3">
      <c r="A3" s="13" t="inlineStr">
        <is>
          <t>Line Item</t>
        </is>
      </c>
      <c r="B3" s="13" t="inlineStr">
        <is>
          <t>Straight-Line</t>
        </is>
      </c>
      <c r="C3" s="13" t="inlineStr">
        <is>
          <t>DDB</t>
        </is>
      </c>
      <c r="D3" s="13" t="inlineStr">
        <is>
          <t>Difference</t>
        </is>
      </c>
    </row>
    <row r="4">
      <c r="A4" s="14" t="inlineStr">
        <is>
          <t>Revenue</t>
        </is>
      </c>
      <c r="B4" s="15" t="n">
        <v>85000</v>
      </c>
      <c r="C4" s="15" t="n">
        <v>85000</v>
      </c>
      <c r="D4" s="11">
        <f>C4-B4</f>
        <v/>
      </c>
    </row>
    <row r="5">
      <c r="A5" s="14" t="inlineStr">
        <is>
          <t>Other Operating Expenses</t>
        </is>
      </c>
      <c r="B5" s="15" t="n">
        <v>45000</v>
      </c>
      <c r="C5" s="15" t="n">
        <v>45000</v>
      </c>
      <c r="D5" s="11">
        <f>C5-B5</f>
        <v/>
      </c>
    </row>
    <row r="6">
      <c r="A6" s="14" t="inlineStr">
        <is>
          <t>Depreciation Expense</t>
        </is>
      </c>
      <c r="B6" s="11">
        <f>SUM('Partial-Year Depreciation'!I4:I6)</f>
        <v/>
      </c>
      <c r="C6" s="11">
        <f>SUM('Partial-Year Depreciation'!J4:J6)</f>
        <v/>
      </c>
      <c r="D6" s="11">
        <f>C6-B6</f>
        <v/>
      </c>
    </row>
    <row r="7">
      <c r="A7" s="14" t="inlineStr">
        <is>
          <t>Operating Income</t>
        </is>
      </c>
      <c r="B7" s="11">
        <f>B4-B5-B6</f>
        <v/>
      </c>
      <c r="C7" s="11">
        <f>C4-C5-C6</f>
        <v/>
      </c>
      <c r="D7" s="11">
        <f>C7-B7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Mini Balance Sheet - Teacher Key</t>
        </is>
      </c>
    </row>
    <row r="3">
      <c r="A3" s="13" t="inlineStr">
        <is>
          <t>Line Item</t>
        </is>
      </c>
      <c r="B3" s="13" t="inlineStr">
        <is>
          <t>Straight-Line</t>
        </is>
      </c>
      <c r="C3" s="13" t="inlineStr">
        <is>
          <t>DDB</t>
        </is>
      </c>
      <c r="D3" s="13" t="inlineStr">
        <is>
          <t>Difference</t>
        </is>
      </c>
    </row>
    <row r="4">
      <c r="A4" s="14" t="inlineStr">
        <is>
          <t>Fixed Asset Cost</t>
        </is>
      </c>
      <c r="B4" s="11">
        <f>SUM(AssetData[Cost])</f>
        <v/>
      </c>
      <c r="C4" s="11">
        <f>SUM(AssetData[Cost])</f>
        <v/>
      </c>
      <c r="D4" s="11">
        <f>C4-B4</f>
        <v/>
      </c>
    </row>
    <row r="5">
      <c r="A5" s="14" t="inlineStr">
        <is>
          <t>Less: Accumulated Depreciation</t>
        </is>
      </c>
      <c r="B5" s="11">
        <f>-'Mini Income Statement'!B6</f>
        <v/>
      </c>
      <c r="C5" s="11">
        <f>-'Mini Income Statement'!C6</f>
        <v/>
      </c>
      <c r="D5" s="11">
        <f>C5-B5</f>
        <v/>
      </c>
    </row>
    <row r="6">
      <c r="A6" s="14" t="inlineStr">
        <is>
          <t>Net Book Value</t>
        </is>
      </c>
      <c r="B6" s="11">
        <f>B4+B5</f>
        <v/>
      </c>
      <c r="C6" s="11">
        <f>C4+C5</f>
        <v/>
      </c>
      <c r="D6" s="11">
        <f>C6-B6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26" customWidth="1" min="3" max="3"/>
    <col width="32" customWidth="1" min="4" max="4"/>
  </cols>
  <sheetData>
    <row r="1">
      <c r="A1" s="1" t="inlineStr">
        <is>
          <t>Recommendation Evidence - Teacher Key</t>
        </is>
      </c>
    </row>
    <row r="3">
      <c r="A3" s="2" t="inlineStr">
        <is>
          <t>Evidence Question</t>
        </is>
      </c>
      <c r="B3" s="2" t="inlineStr">
        <is>
          <t>Workbook Value</t>
        </is>
      </c>
      <c r="C3" s="2" t="inlineStr">
        <is>
          <t>Where It Comes From</t>
        </is>
      </c>
      <c r="D3" s="2" t="inlineStr">
        <is>
          <t>Memo Use</t>
        </is>
      </c>
    </row>
    <row r="4">
      <c r="A4" s="16" t="inlineStr">
        <is>
          <t>How much higher is DDB Year 1 depreciation?</t>
        </is>
      </c>
      <c r="B4" s="11">
        <f>'Mini Income Statement'!C6-'Mini Income Statement'!B6</f>
        <v/>
      </c>
      <c r="C4" s="16" t="inlineStr">
        <is>
          <t>Mini Income Statement</t>
        </is>
      </c>
      <c r="D4" s="16" t="inlineStr">
        <is>
          <t>Shows profit impact</t>
        </is>
      </c>
    </row>
    <row r="5">
      <c r="A5" s="16" t="inlineStr">
        <is>
          <t>How much lower is DDB operating income?</t>
        </is>
      </c>
      <c r="B5" s="11">
        <f>'Mini Income Statement'!B7-'Mini Income Statement'!C7</f>
        <v/>
      </c>
      <c r="C5" s="16" t="inlineStr">
        <is>
          <t>Mini Income Statement</t>
        </is>
      </c>
      <c r="D5" s="16" t="inlineStr">
        <is>
          <t>Supports income statement claim</t>
        </is>
      </c>
    </row>
    <row r="6">
      <c r="A6" s="16" t="inlineStr">
        <is>
          <t>How much lower is DDB net book value?</t>
        </is>
      </c>
      <c r="B6" s="11">
        <f>'Mini Balance Sheet'!B6-'Mini Balance Sheet'!C6</f>
        <v/>
      </c>
      <c r="C6" s="16" t="inlineStr">
        <is>
          <t>Mini Balance Sheet</t>
        </is>
      </c>
      <c r="D6" s="16" t="inlineStr">
        <is>
          <t>Supports balance sheet claim</t>
        </is>
      </c>
    </row>
    <row r="7">
      <c r="A7" s="16" t="inlineStr">
        <is>
          <t>Which method do you recommend?</t>
        </is>
      </c>
      <c r="B7" s="10" t="n"/>
      <c r="C7" s="16" t="inlineStr">
        <is>
          <t>Your analysis</t>
        </is>
      </c>
      <c r="D7" s="16" t="inlineStr">
        <is>
          <t>State your claim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42" customWidth="1" min="2" max="2"/>
    <col width="34" customWidth="1" min="3" max="3"/>
    <col width="34" customWidth="1" min="4" max="4"/>
  </cols>
  <sheetData>
    <row r="1">
      <c r="A1" s="1" t="inlineStr">
        <is>
          <t>Formula Reference</t>
        </is>
      </c>
    </row>
    <row r="3">
      <c r="A3" s="2" t="inlineStr">
        <is>
          <t>Need</t>
        </is>
      </c>
      <c r="B3" s="2" t="inlineStr">
        <is>
          <t>Excel Syntax</t>
        </is>
      </c>
      <c r="C3" s="2" t="inlineStr">
        <is>
          <t>Purpose</t>
        </is>
      </c>
      <c r="D3" s="2" t="inlineStr">
        <is>
          <t>Student Reminder</t>
        </is>
      </c>
    </row>
    <row r="4">
      <c r="A4" s="17" t="inlineStr">
        <is>
          <t>Lookup</t>
        </is>
      </c>
      <c r="B4" s="17" t="inlineStr">
        <is>
          <t>'=XLOOKUP(asset_id, AssetData[Asset ID], return_column)</t>
        </is>
      </c>
      <c r="C4" s="17" t="inlineStr">
        <is>
          <t>Pull asset data from the register</t>
        </is>
      </c>
      <c r="D4" s="17" t="inlineStr">
        <is>
          <t>Use links, not typed copies</t>
        </is>
      </c>
    </row>
    <row r="5">
      <c r="A5" s="18" t="inlineStr">
        <is>
          <t>Straight-line full year</t>
        </is>
      </c>
      <c r="B5" s="18" t="inlineStr">
        <is>
          <t>'=SLN(cost, salvage, life)</t>
        </is>
      </c>
      <c r="C5" s="18" t="inlineStr">
        <is>
          <t>Calculate full-year SL depreciation</t>
        </is>
      </c>
      <c r="D5" s="18" t="inlineStr">
        <is>
          <t>Then multiply by months / 12</t>
        </is>
      </c>
    </row>
    <row r="6">
      <c r="A6" s="17" t="inlineStr">
        <is>
          <t>DDB full year</t>
        </is>
      </c>
      <c r="B6" s="17" t="inlineStr">
        <is>
          <t>'=DDB(cost, salvage, life, 1)</t>
        </is>
      </c>
      <c r="C6" s="17" t="inlineStr">
        <is>
          <t>Calculate Year 1 DDB depreciation</t>
        </is>
      </c>
      <c r="D6" s="17" t="inlineStr">
        <is>
          <t>Then multiply by months / 12</t>
        </is>
      </c>
    </row>
    <row r="7">
      <c r="A7" s="18" t="inlineStr">
        <is>
          <t>Partial-year factor</t>
        </is>
      </c>
      <c r="B7" s="18" t="inlineStr">
        <is>
          <t>'=months / 12</t>
        </is>
      </c>
      <c r="C7" s="18" t="inlineStr">
        <is>
          <t>Prorate annual depreciation</t>
        </is>
      </c>
      <c r="D7" s="18" t="inlineStr">
        <is>
          <t>Use months in service</t>
        </is>
      </c>
    </row>
    <row r="8">
      <c r="A8" s="17" t="inlineStr">
        <is>
          <t>Operating income</t>
        </is>
      </c>
      <c r="B8" s="17" t="inlineStr">
        <is>
          <t>'=Revenue - OtherOpEx - Depreciation</t>
        </is>
      </c>
      <c r="C8" s="17" t="inlineStr">
        <is>
          <t>Income statement impact</t>
        </is>
      </c>
      <c r="D8" s="17" t="inlineStr">
        <is>
          <t>DDB usually lowers Year 1 income</t>
        </is>
      </c>
    </row>
    <row r="9">
      <c r="A9" s="18" t="inlineStr">
        <is>
          <t>Net book value</t>
        </is>
      </c>
      <c r="B9" s="18" t="inlineStr">
        <is>
          <t>'=Cost - AccumulatedDepreciation</t>
        </is>
      </c>
      <c r="C9" s="18" t="inlineStr">
        <is>
          <t>Balance sheet impact</t>
        </is>
      </c>
      <c r="D9" s="18" t="inlineStr">
        <is>
          <t>Year 1 accumulated depreciation equals Year 1 depreciation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72" customWidth="1" min="2" max="2"/>
    <col width="28" customWidth="1" min="3" max="3"/>
    <col width="18" customWidth="1" min="4" max="4"/>
  </cols>
  <sheetData>
    <row r="1">
      <c r="A1" s="1" t="inlineStr">
        <is>
          <t>Submission Check - Teacher Key</t>
        </is>
      </c>
    </row>
    <row r="3">
      <c r="A3" s="2" t="inlineStr">
        <is>
          <t>Done?</t>
        </is>
      </c>
      <c r="B3" s="2" t="inlineStr">
        <is>
          <t>Check</t>
        </is>
      </c>
      <c r="C3" s="2" t="inlineStr">
        <is>
          <t>Notes</t>
        </is>
      </c>
      <c r="D3" s="2" t="inlineStr">
        <is>
          <t>Teacher</t>
        </is>
      </c>
    </row>
    <row r="4">
      <c r="A4" s="16" t="inlineStr">
        <is>
          <t>☐</t>
        </is>
      </c>
      <c r="B4" s="16" t="inlineStr">
        <is>
          <t>Asset Register has complete purchase dates and months in service.</t>
        </is>
      </c>
      <c r="C4" s="16" t="n"/>
      <c r="D4" s="16" t="n"/>
    </row>
    <row r="5">
      <c r="A5" s="16" t="inlineStr">
        <is>
          <t>☐</t>
        </is>
      </c>
      <c r="B5" s="16" t="inlineStr">
        <is>
          <t>Partial-Year Depreciation uses XLOOKUP, SLN, DDB, and months / 12.</t>
        </is>
      </c>
      <c r="C5" s="16" t="n"/>
      <c r="D5" s="16" t="n"/>
    </row>
    <row r="6">
      <c r="A6" s="16" t="inlineStr">
        <is>
          <t>☐</t>
        </is>
      </c>
      <c r="B6" s="16" t="inlineStr">
        <is>
          <t>Method Comparison shows SL vs DDB Year 1 expense and ending book value.</t>
        </is>
      </c>
      <c r="C6" s="16" t="n"/>
      <c r="D6" s="16" t="n"/>
    </row>
    <row r="7">
      <c r="A7" s="16" t="inlineStr">
        <is>
          <t>☐</t>
        </is>
      </c>
      <c r="B7" s="16" t="inlineStr">
        <is>
          <t>Mini Income Statement links depreciation expense to operating income.</t>
        </is>
      </c>
      <c r="C7" s="16" t="n"/>
      <c r="D7" s="16" t="n"/>
    </row>
    <row r="8">
      <c r="A8" s="16" t="inlineStr">
        <is>
          <t>☐</t>
        </is>
      </c>
      <c r="B8" s="16" t="inlineStr">
        <is>
          <t>Mini Balance Sheet links accumulated depreciation to net book value.</t>
        </is>
      </c>
      <c r="C8" s="16" t="n"/>
      <c r="D8" s="16" t="n"/>
    </row>
    <row r="9">
      <c r="A9" s="16" t="inlineStr">
        <is>
          <t>☐</t>
        </is>
      </c>
      <c r="B9" s="16" t="inlineStr">
        <is>
          <t>Recommendation Evidence includes at least two statement-based numbers.</t>
        </is>
      </c>
      <c r="C9" s="16" t="n"/>
      <c r="D9" s="1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2026-05-07T00:04:26Z</dcterms:created>
  <dcterms:modified xmlns:dcterms="http://purl.org/dc/terms/" xmlns:xsi="http://www.w3.org/2001/XMLSchema-instance" xsi:type="dcterms:W3CDTF">2026-05-07T00:04:26Z</dcterms:modified>
</cp:coreProperties>
</file>