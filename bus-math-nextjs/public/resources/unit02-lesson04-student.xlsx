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nadjusted TB" sheetId="1" state="visible" r:id="rId1"/>
    <sheet xmlns:r="http://schemas.openxmlformats.org/officeDocument/2006/relationships" name="Adjustments" sheetId="2" state="visible" r:id="rId2"/>
    <sheet xmlns:r="http://schemas.openxmlformats.org/officeDocument/2006/relationships" name="Adjusted TB" sheetId="3" state="visible" r:id="rId3"/>
    <sheet xmlns:r="http://schemas.openxmlformats.org/officeDocument/2006/relationships" name="Financial Statements" sheetId="4" state="visible" r:id="rId4"/>
    <sheet xmlns:r="http://schemas.openxmlformats.org/officeDocument/2006/relationships" name="Closing Entries" sheetId="5" state="visible" r:id="rId5"/>
    <sheet xmlns:r="http://schemas.openxmlformats.org/officeDocument/2006/relationships" name="Post-closing TB" sheetId="6" state="visible" r:id="rId6"/>
  </sheets>
  <definedNames>
    <definedName name="_xlnm.Print_Area" localSheetId="0">'Unadjusted TB'!$A$1:$D$34</definedName>
    <definedName name="_xlnm.Print_Area" localSheetId="1">'Adjustments'!$A$1:$E$22</definedName>
    <definedName name="_xlnm.Print_Area" localSheetId="2">'Adjusted TB'!$A$1:$G$23</definedName>
    <definedName name="_xlnm.Print_Area" localSheetId="3">'Financial Statements'!$A$1:$C$38</definedName>
    <definedName name="_xlnm.Print_Area" localSheetId="4">'Closing Entries'!$A$1:$E$21</definedName>
    <definedName name="_xlnm.Print_Area" localSheetId="5">'Post-closing TB'!$A$1:$D$19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&quot;$&quot;#,##0;(&quot;$&quot;#,##0);&quot;-&quot;"/>
  </numFmts>
  <fonts count="7">
    <font>
      <name val="Carlito"/>
      <sz val="11"/>
    </font>
    <font>
      <name val="Arial"/>
      <color rgb="FF203047"/>
      <sz val="10"/>
    </font>
    <font>
      <name val="Arial"/>
      <b val="1"/>
      <color rgb="FF203047"/>
      <sz val="15"/>
    </font>
    <font>
      <name val="Arial"/>
      <i val="1"/>
      <color rgb="FF566579"/>
      <sz val="10"/>
    </font>
    <font>
      <name val="Arial"/>
      <b val="1"/>
      <color rgb="FF203047"/>
      <sz val="10"/>
    </font>
    <font>
      <name val="Arial"/>
      <b val="1"/>
      <color rgb="FF203047"/>
      <sz val="11"/>
    </font>
    <font>
      <name val="Arial"/>
      <color rgb="FF566579"/>
      <sz val="9"/>
    </font>
  </fonts>
  <fills count="5">
    <fill>
      <patternFill/>
    </fill>
    <fill>
      <patternFill patternType="gray125"/>
    </fill>
    <fill>
      <patternFill patternType="solid">
        <fgColor rgb="FFEAF1FF"/>
      </patternFill>
    </fill>
    <fill>
      <patternFill patternType="solid">
        <fgColor rgb="FFE8F6F4"/>
      </patternFill>
    </fill>
    <fill>
      <patternFill patternType="solid">
        <fgColor rgb="FFFFF2CC"/>
      </patternFill>
    </fill>
  </fills>
  <borders count="5">
    <border/>
    <border>
      <left style="thin">
        <color rgb="FFCDD7E3"/>
      </left>
      <top style="thin">
        <color rgb="FFCDD7E3"/>
      </top>
      <bottom style="thin">
        <color rgb="FFCDD7E3"/>
      </bottom>
    </border>
    <border>
      <top style="thin">
        <color rgb="FFCDD7E3"/>
      </top>
      <bottom style="thin">
        <color rgb="FFCDD7E3"/>
      </bottom>
    </border>
    <border>
      <right style="thin">
        <color rgb="FFCDD7E3"/>
      </right>
      <top style="thin">
        <color rgb="FFCDD7E3"/>
      </top>
      <bottom style="thin">
        <color rgb="FFCDD7E3"/>
      </bottom>
    </border>
    <border>
      <left style="thin">
        <color rgb="FFCDD7E3"/>
      </left>
      <right style="thin">
        <color rgb="FFCDD7E3"/>
      </right>
      <top style="thin">
        <color rgb="FFCDD7E3"/>
      </top>
      <bottom style="thin">
        <color rgb="FFCDD7E3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2" borderId="0" pivotButton="0" quotePrefix="0" xfId="0"/>
    <xf numFmtId="0" fontId="4" fillId="2" borderId="1" pivotButton="0" quotePrefix="0" xfId="0"/>
    <xf numFmtId="0" fontId="4" fillId="2" borderId="2" pivotButton="0" quotePrefix="0" xfId="0"/>
    <xf numFmtId="0" fontId="4" fillId="2" borderId="3" pivotButton="0" quotePrefix="0" xfId="0"/>
    <xf numFmtId="0" fontId="1" fillId="3" borderId="0" pivotButton="0" quotePrefix="0" xfId="0"/>
    <xf numFmtId="0" fontId="4" fillId="3" borderId="0" pivotButton="0" quotePrefix="0" xfId="0"/>
    <xf numFmtId="0" fontId="4" fillId="3" borderId="1" pivotButton="0" quotePrefix="0" xfId="0"/>
    <xf numFmtId="0" fontId="4" fillId="3" borderId="2" pivotButton="0" quotePrefix="0" xfId="0"/>
    <xf numFmtId="0" fontId="4" fillId="3" borderId="3" pivotButton="0" quotePrefix="0" xfId="0"/>
    <xf numFmtId="164" fontId="1" fillId="0" borderId="0" pivotButton="0" quotePrefix="0" xfId="0"/>
    <xf numFmtId="164" fontId="4" fillId="3" borderId="2" pivotButton="0" quotePrefix="0" xfId="0"/>
    <xf numFmtId="164" fontId="4" fillId="3" borderId="3" pivotButton="0" quotePrefix="0" xfId="0"/>
    <xf numFmtId="0" fontId="5" fillId="3" borderId="0" pivotButton="0" quotePrefix="0" xfId="0"/>
    <xf numFmtId="0" fontId="6" fillId="0" borderId="0" pivotButton="0" quotePrefix="0" xfId="0"/>
    <xf numFmtId="0" fontId="1" fillId="4" borderId="0" pivotButton="0" quotePrefix="0" xfId="0"/>
    <xf numFmtId="0" fontId="1" fillId="4" borderId="4" pivotButton="0" quotePrefix="0" xfId="0"/>
    <xf numFmtId="164" fontId="1" fillId="4" borderId="4" pivotButton="0" quotePrefix="0" xfId="0"/>
    <xf numFmtId="164" fontId="1" fillId="3" borderId="0" pivotButton="0" quotePrefix="0" xfId="0"/>
    <xf numFmtId="164" fontId="4" fillId="3" borderId="0" pivotButton="0" quotePrefix="0" xfId="0"/>
    <xf numFmtId="164" fontId="5" fillId="3" borderId="0" pivotButton="0" quotePrefix="0" xfId="0"/>
    <xf numFmtId="164" fontId="1" fillId="3" borderId="4" pivotButton="0" quotePrefix="0" xfId="0"/>
    <xf numFmtId="164" fontId="4" fillId="3" borderId="4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wrapText="1"/>
    </xf>
    <xf numFmtId="0" fontId="4" fillId="2" borderId="2" applyAlignment="1" pivotButton="0" quotePrefix="0" xfId="0">
      <alignment wrapText="1"/>
    </xf>
    <xf numFmtId="0" fontId="4" fillId="2" borderId="3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164" fontId="1" fillId="0" borderId="0" applyAlignment="1" pivotButton="0" quotePrefix="0" xfId="0">
      <alignment wrapText="1"/>
    </xf>
    <xf numFmtId="164" fontId="1" fillId="0" borderId="0" pivotButton="0" quotePrefix="0" xfId="0"/>
    <xf numFmtId="0" fontId="4" fillId="3" borderId="1" applyAlignment="1" pivotButton="0" quotePrefix="0" xfId="0">
      <alignment wrapText="1"/>
    </xf>
    <xf numFmtId="164" fontId="4" fillId="3" borderId="2" applyAlignment="1" pivotButton="0" quotePrefix="0" xfId="0">
      <alignment wrapText="1"/>
    </xf>
    <xf numFmtId="164" fontId="4" fillId="3" borderId="3" applyAlignment="1" pivotButton="0" quotePrefix="0" xfId="0">
      <alignment wrapText="1"/>
    </xf>
    <xf numFmtId="0" fontId="5" fillId="3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164" fontId="1" fillId="4" borderId="4" pivotButton="0" quotePrefix="0" xfId="0"/>
    <xf numFmtId="0" fontId="1" fillId="0" borderId="0" applyAlignment="1" pivotButton="0" quotePrefix="0" xfId="0">
      <alignment horizontal="center"/>
    </xf>
    <xf numFmtId="164" fontId="4" fillId="3" borderId="4" pivotButton="0" quotePrefix="0" xfId="0"/>
    <xf numFmtId="164" fontId="5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7" customWidth="1" min="4" max="4"/>
  </cols>
  <sheetData>
    <row r="1" ht="31" customHeight="1">
      <c r="A1" s="27" t="inlineStr">
        <is>
          <t>Lesson 4 Manual Month-End Close</t>
        </is>
      </c>
    </row>
    <row r="2" ht="36" customHeight="1">
      <c r="A2" s="28" t="inlineStr">
        <is>
          <t>Complete the March close in worksheet order. This is a separate practice case.</t>
        </is>
      </c>
    </row>
    <row r="3" ht="22" customHeight="1">
      <c r="A3" s="1" t="n"/>
      <c r="B3" s="1" t="n"/>
      <c r="C3" s="1" t="n"/>
      <c r="D3" s="1" t="n"/>
    </row>
    <row r="4" ht="32" customHeight="1">
      <c r="A4" s="29" t="inlineStr">
        <is>
          <t>Account</t>
        </is>
      </c>
      <c r="B4" s="30" t="inlineStr">
        <is>
          <t>Debit</t>
        </is>
      </c>
      <c r="C4" s="31" t="inlineStr">
        <is>
          <t>Credit</t>
        </is>
      </c>
      <c r="D4" s="1" t="n"/>
    </row>
    <row r="5" ht="22" customHeight="1">
      <c r="A5" s="32" t="inlineStr">
        <is>
          <t>Cash</t>
        </is>
      </c>
      <c r="B5" s="33" t="n">
        <v>9000</v>
      </c>
      <c r="C5" s="33" t="n">
        <v>0</v>
      </c>
      <c r="D5" s="34" t="n"/>
    </row>
    <row r="6" ht="22" customHeight="1">
      <c r="A6" s="32" t="inlineStr">
        <is>
          <t>Accounts Receivable</t>
        </is>
      </c>
      <c r="B6" s="33" t="n">
        <v>4000</v>
      </c>
      <c r="C6" s="33" t="n">
        <v>0</v>
      </c>
      <c r="D6" s="34" t="n"/>
    </row>
    <row r="7" ht="22" customHeight="1">
      <c r="A7" s="32" t="inlineStr">
        <is>
          <t>Supplies</t>
        </is>
      </c>
      <c r="B7" s="33" t="n">
        <v>5500</v>
      </c>
      <c r="C7" s="33" t="n">
        <v>0</v>
      </c>
      <c r="D7" s="34" t="n"/>
    </row>
    <row r="8" ht="22" customHeight="1">
      <c r="A8" s="32" t="inlineStr">
        <is>
          <t>Prepaid Insurance</t>
        </is>
      </c>
      <c r="B8" s="33" t="n">
        <v>1200</v>
      </c>
      <c r="C8" s="33" t="n">
        <v>0</v>
      </c>
      <c r="D8" s="34" t="n"/>
    </row>
    <row r="9" ht="22" customHeight="1">
      <c r="A9" s="32" t="inlineStr">
        <is>
          <t>Equipment</t>
        </is>
      </c>
      <c r="B9" s="33" t="n">
        <v>32000</v>
      </c>
      <c r="C9" s="33" t="n">
        <v>0</v>
      </c>
      <c r="D9" s="34" t="n"/>
    </row>
    <row r="10" ht="22" customHeight="1">
      <c r="A10" s="32" t="inlineStr">
        <is>
          <t>Accumulated Depreciation</t>
        </is>
      </c>
      <c r="B10" s="33" t="n">
        <v>0</v>
      </c>
      <c r="C10" s="33" t="n">
        <v>0</v>
      </c>
      <c r="D10" s="34" t="n"/>
    </row>
    <row r="11" ht="22" customHeight="1">
      <c r="A11" s="32" t="inlineStr">
        <is>
          <t>Accounts Payable</t>
        </is>
      </c>
      <c r="B11" s="33" t="n">
        <v>0</v>
      </c>
      <c r="C11" s="33" t="n">
        <v>6000</v>
      </c>
      <c r="D11" s="34" t="n"/>
    </row>
    <row r="12" ht="22" customHeight="1">
      <c r="A12" s="32" t="inlineStr">
        <is>
          <t>Wages Payable</t>
        </is>
      </c>
      <c r="B12" s="33" t="n">
        <v>0</v>
      </c>
      <c r="C12" s="33" t="n">
        <v>0</v>
      </c>
      <c r="D12" s="34" t="n"/>
    </row>
    <row r="13" ht="22" customHeight="1">
      <c r="A13" s="32" t="inlineStr">
        <is>
          <t>Unearned Revenue</t>
        </is>
      </c>
      <c r="B13" s="33" t="n">
        <v>0</v>
      </c>
      <c r="C13" s="33" t="n">
        <v>1200</v>
      </c>
      <c r="D13" s="34" t="n"/>
    </row>
    <row r="14" ht="22" customHeight="1">
      <c r="A14" s="32" t="inlineStr">
        <is>
          <t>Retained Earnings</t>
        </is>
      </c>
      <c r="B14" s="33" t="n">
        <v>0</v>
      </c>
      <c r="C14" s="33" t="n">
        <v>30000</v>
      </c>
      <c r="D14" s="34" t="n"/>
    </row>
    <row r="15" ht="22" customHeight="1">
      <c r="A15" s="32" t="inlineStr">
        <is>
          <t>Service Revenue</t>
        </is>
      </c>
      <c r="B15" s="33" t="n">
        <v>0</v>
      </c>
      <c r="C15" s="33" t="n">
        <v>14500</v>
      </c>
      <c r="D15" s="34" t="n"/>
    </row>
    <row r="16" ht="22" customHeight="1">
      <c r="A16" s="32" t="inlineStr">
        <is>
          <t>Supplies Expense</t>
        </is>
      </c>
      <c r="B16" s="33" t="n">
        <v>0</v>
      </c>
      <c r="C16" s="33" t="n">
        <v>0</v>
      </c>
      <c r="D16" s="34" t="n"/>
    </row>
    <row r="17" ht="22" customHeight="1">
      <c r="A17" s="32" t="inlineStr">
        <is>
          <t>Insurance Expense</t>
        </is>
      </c>
      <c r="B17" s="33" t="n">
        <v>0</v>
      </c>
      <c r="C17" s="33" t="n">
        <v>0</v>
      </c>
      <c r="D17" s="34" t="n"/>
    </row>
    <row r="18" ht="22" customHeight="1">
      <c r="A18" s="32" t="inlineStr">
        <is>
          <t>Depreciation Expense</t>
        </is>
      </c>
      <c r="B18" s="33" t="n">
        <v>0</v>
      </c>
      <c r="C18" s="33" t="n">
        <v>0</v>
      </c>
      <c r="D18" s="34" t="n"/>
    </row>
    <row r="19" ht="22" customHeight="1">
      <c r="A19" s="32" t="inlineStr">
        <is>
          <t>Wages Expense</t>
        </is>
      </c>
      <c r="B19" s="33" t="n">
        <v>0</v>
      </c>
      <c r="C19" s="33" t="n">
        <v>0</v>
      </c>
      <c r="D19" s="34" t="n"/>
    </row>
    <row r="20" ht="25" customHeight="1">
      <c r="A20" s="35" t="inlineStr">
        <is>
          <t>Unadjusted totals</t>
        </is>
      </c>
      <c r="B20" s="36">
        <f>SUM(B5:B19)</f>
        <v/>
      </c>
      <c r="C20" s="36">
        <f>SUM(C5:C19)</f>
        <v/>
      </c>
      <c r="D20" s="37">
        <f>B20-C20</f>
        <v/>
      </c>
    </row>
    <row r="21" ht="22" customHeight="1">
      <c r="A21" s="1" t="n"/>
      <c r="B21" s="1" t="n"/>
      <c r="C21" s="1" t="n"/>
      <c r="D21" s="1" t="n"/>
    </row>
    <row r="22" ht="22" customHeight="1">
      <c r="A22" s="1" t="n"/>
      <c r="B22" s="1" t="n"/>
      <c r="C22" s="1" t="n"/>
      <c r="D22" s="1" t="n"/>
    </row>
    <row r="23" ht="26" customHeight="1">
      <c r="A23" s="38" t="inlineStr">
        <is>
          <t>Month-end facts</t>
        </is>
      </c>
    </row>
    <row r="24" ht="22" customHeight="1">
      <c r="A24" s="32" t="inlineStr">
        <is>
          <t>Supplies on hand</t>
        </is>
      </c>
      <c r="B24" s="33" t="n">
        <v>4300</v>
      </c>
      <c r="C24" s="1" t="n"/>
      <c r="D24" s="1" t="n"/>
    </row>
    <row r="25" ht="32" customHeight="1">
      <c r="A25" s="32" t="inlineStr">
        <is>
          <t>Insurance policy length in months</t>
        </is>
      </c>
      <c r="B25" s="32" t="n">
        <v>4</v>
      </c>
      <c r="C25" s="1" t="n"/>
      <c r="D25" s="1" t="n"/>
    </row>
    <row r="26" ht="22" customHeight="1">
      <c r="A26" s="32" t="inlineStr">
        <is>
          <t>Insurance months used</t>
        </is>
      </c>
      <c r="B26" s="32" t="n">
        <v>1</v>
      </c>
      <c r="C26" s="1" t="n"/>
      <c r="D26" s="1" t="n"/>
    </row>
    <row r="27" ht="22" customHeight="1">
      <c r="A27" s="32" t="inlineStr">
        <is>
          <t>March equipment depreciation</t>
        </is>
      </c>
      <c r="B27" s="33" t="n">
        <v>400</v>
      </c>
      <c r="C27" s="1" t="n"/>
      <c r="D27" s="1" t="n"/>
    </row>
    <row r="28" ht="22" customHeight="1">
      <c r="A28" s="32" t="inlineStr">
        <is>
          <t>Wages earned but not paid</t>
        </is>
      </c>
      <c r="B28" s="33" t="n">
        <v>1800</v>
      </c>
      <c r="C28" s="1" t="n"/>
      <c r="D28" s="1" t="n"/>
    </row>
    <row r="29" ht="22" customHeight="1">
      <c r="A29" s="32" t="inlineStr">
        <is>
          <t>Advance service now complete</t>
        </is>
      </c>
      <c r="B29" s="33" t="n">
        <v>1200</v>
      </c>
      <c r="C29" s="1" t="n"/>
      <c r="D29" s="1" t="n"/>
    </row>
    <row r="30" ht="32" customHeight="1">
      <c r="A30" s="32" t="inlineStr">
        <is>
          <t>Completed work not yet billed</t>
        </is>
      </c>
      <c r="B30" s="33" t="n">
        <v>900</v>
      </c>
      <c r="C30" s="1" t="n"/>
      <c r="D30" s="1" t="n"/>
    </row>
    <row r="31" ht="22" customHeight="1">
      <c r="A31" s="1" t="n"/>
      <c r="B31" s="1" t="n"/>
      <c r="C31" s="1" t="n"/>
      <c r="D31" s="1" t="n"/>
    </row>
    <row r="32" ht="22" customHeight="1">
      <c r="A32" s="39" t="inlineStr">
        <is>
          <t>Start values adapted from the current Lesson 5 TechStart starter.</t>
        </is>
      </c>
    </row>
    <row r="33" ht="22" customHeight="1">
      <c r="A33" s="39" t="inlineStr">
        <is>
          <t>https://bodangren.github.io/Business-Operations/student/unit02/lesson05/#do</t>
        </is>
      </c>
    </row>
    <row r="34" ht="22" customHeight="1">
      <c r="A34" s="1" t="n"/>
      <c r="B34" s="1" t="n"/>
      <c r="C34" s="1" t="n"/>
      <c r="D34" s="1" t="n"/>
    </row>
  </sheetData>
  <mergeCells count="5">
    <mergeCell ref="A1:D1"/>
    <mergeCell ref="A23:D23"/>
    <mergeCell ref="A2:D2"/>
    <mergeCell ref="A33:D33"/>
    <mergeCell ref="A32:D32"/>
  </mergeCells>
  <pageMargins left="0.7" right="0.7" top="0.75" bottom="0.75" header="0.3" footer="0.3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2" customWidth="1" min="3" max="3"/>
    <col width="17" customWidth="1" min="4" max="4"/>
    <col width="17" customWidth="1" min="5" max="5"/>
    <col width="17" customWidth="1" min="6" max="6"/>
  </cols>
  <sheetData>
    <row r="1" ht="31" customHeight="1">
      <c r="A1" s="27" t="inlineStr">
        <is>
          <t>Adjusting Entries</t>
        </is>
      </c>
      <c r="F1" s="1" t="n"/>
    </row>
    <row r="2" ht="36" customHeight="1">
      <c r="A2" s="28" t="inlineStr">
        <is>
          <t>Make six March 31 entries. Use one debit and one credit for each fact.</t>
        </is>
      </c>
      <c r="F2" s="1" t="n"/>
    </row>
    <row r="3" ht="22" customHeight="1">
      <c r="A3" s="1" t="n"/>
      <c r="B3" s="1" t="n"/>
      <c r="C3" s="1" t="n"/>
      <c r="D3" s="1" t="n"/>
      <c r="E3" s="1" t="n"/>
      <c r="F3" s="1" t="n"/>
    </row>
    <row r="4" ht="32" customHeight="1">
      <c r="A4" s="29" t="inlineStr">
        <is>
          <t>Case</t>
        </is>
      </c>
      <c r="B4" s="30" t="inlineStr">
        <is>
          <t>Date</t>
        </is>
      </c>
      <c r="C4" s="30" t="inlineStr">
        <is>
          <t>Account</t>
        </is>
      </c>
      <c r="D4" s="30" t="inlineStr">
        <is>
          <t>Debit</t>
        </is>
      </c>
      <c r="E4" s="31" t="inlineStr">
        <is>
          <t>Credit</t>
        </is>
      </c>
      <c r="F4" s="1" t="n"/>
    </row>
    <row r="5" ht="22" customHeight="1">
      <c r="A5" s="40" t="n">
        <v>1</v>
      </c>
      <c r="B5" s="32" t="inlineStr">
        <is>
          <t>March 31</t>
        </is>
      </c>
      <c r="C5" s="20" t="n"/>
      <c r="D5" s="41" t="n"/>
      <c r="E5" s="41" t="n"/>
      <c r="F5" s="1" t="n"/>
    </row>
    <row r="6" ht="22" customHeight="1">
      <c r="A6" s="42" t="n"/>
      <c r="B6" s="32" t="inlineStr">
        <is>
          <t>March 31</t>
        </is>
      </c>
      <c r="C6" s="20" t="n"/>
      <c r="D6" s="41" t="n"/>
      <c r="E6" s="41" t="n"/>
      <c r="F6" s="1" t="n"/>
    </row>
    <row r="7" ht="22" customHeight="1">
      <c r="A7" s="40" t="n">
        <v>2</v>
      </c>
      <c r="B7" s="32" t="inlineStr">
        <is>
          <t>March 31</t>
        </is>
      </c>
      <c r="C7" s="20" t="n"/>
      <c r="D7" s="41" t="n"/>
      <c r="E7" s="41" t="n"/>
      <c r="F7" s="1" t="n"/>
    </row>
    <row r="8" ht="22" customHeight="1">
      <c r="A8" s="42" t="n"/>
      <c r="B8" s="32" t="inlineStr">
        <is>
          <t>March 31</t>
        </is>
      </c>
      <c r="C8" s="20" t="n"/>
      <c r="D8" s="41" t="n"/>
      <c r="E8" s="41" t="n"/>
      <c r="F8" s="1" t="n"/>
    </row>
    <row r="9" ht="22" customHeight="1">
      <c r="A9" s="40" t="n">
        <v>3</v>
      </c>
      <c r="B9" s="32" t="inlineStr">
        <is>
          <t>March 31</t>
        </is>
      </c>
      <c r="C9" s="20" t="n"/>
      <c r="D9" s="41" t="n"/>
      <c r="E9" s="41" t="n"/>
      <c r="F9" s="1" t="n"/>
    </row>
    <row r="10" ht="22" customHeight="1">
      <c r="A10" s="42" t="n"/>
      <c r="B10" s="32" t="inlineStr">
        <is>
          <t>March 31</t>
        </is>
      </c>
      <c r="C10" s="20" t="n"/>
      <c r="D10" s="41" t="n"/>
      <c r="E10" s="41" t="n"/>
      <c r="F10" s="1" t="n"/>
    </row>
    <row r="11" ht="22" customHeight="1">
      <c r="A11" s="40" t="n">
        <v>4</v>
      </c>
      <c r="B11" s="32" t="inlineStr">
        <is>
          <t>March 31</t>
        </is>
      </c>
      <c r="C11" s="20" t="n"/>
      <c r="D11" s="41" t="n"/>
      <c r="E11" s="41" t="n"/>
      <c r="F11" s="1" t="n"/>
    </row>
    <row r="12" ht="22" customHeight="1">
      <c r="A12" s="42" t="n"/>
      <c r="B12" s="32" t="inlineStr">
        <is>
          <t>March 31</t>
        </is>
      </c>
      <c r="C12" s="20" t="n"/>
      <c r="D12" s="41" t="n"/>
      <c r="E12" s="41" t="n"/>
      <c r="F12" s="1" t="n"/>
    </row>
    <row r="13" ht="22" customHeight="1">
      <c r="A13" s="40" t="n">
        <v>5</v>
      </c>
      <c r="B13" s="32" t="inlineStr">
        <is>
          <t>March 31</t>
        </is>
      </c>
      <c r="C13" s="20" t="n"/>
      <c r="D13" s="41" t="n"/>
      <c r="E13" s="41" t="n"/>
      <c r="F13" s="1" t="n"/>
    </row>
    <row r="14" ht="22" customHeight="1">
      <c r="A14" s="42" t="n"/>
      <c r="B14" s="32" t="inlineStr">
        <is>
          <t>March 31</t>
        </is>
      </c>
      <c r="C14" s="20" t="n"/>
      <c r="D14" s="41" t="n"/>
      <c r="E14" s="41" t="n"/>
      <c r="F14" s="1" t="n"/>
    </row>
    <row r="15" ht="22" customHeight="1">
      <c r="A15" s="40" t="n">
        <v>6</v>
      </c>
      <c r="B15" s="32" t="inlineStr">
        <is>
          <t>March 31</t>
        </is>
      </c>
      <c r="C15" s="20" t="n"/>
      <c r="D15" s="41" t="n"/>
      <c r="E15" s="41" t="n"/>
      <c r="F15" s="1" t="n"/>
    </row>
    <row r="16" ht="22" customHeight="1">
      <c r="A16" s="42" t="n"/>
      <c r="B16" s="32" t="inlineStr">
        <is>
          <t>March 31</t>
        </is>
      </c>
      <c r="C16" s="20" t="n"/>
      <c r="D16" s="41" t="n"/>
      <c r="E16" s="41" t="n"/>
      <c r="F16" s="1" t="n"/>
    </row>
    <row r="17" ht="22" customHeight="1">
      <c r="A17" s="1" t="n"/>
      <c r="B17" s="1" t="n"/>
      <c r="C17" s="1" t="n"/>
      <c r="D17" s="34" t="n"/>
      <c r="E17" s="34" t="n"/>
      <c r="F17" s="1" t="n"/>
    </row>
    <row r="18" ht="25" customHeight="1">
      <c r="A18" s="1" t="n"/>
      <c r="B18" s="1" t="n"/>
      <c r="C18" s="35" t="inlineStr">
        <is>
          <t>Entry totals</t>
        </is>
      </c>
      <c r="D18" s="36">
        <f>SUM(D5:D16)</f>
        <v/>
      </c>
      <c r="E18" s="37">
        <f>SUM(E5:E16)</f>
        <v/>
      </c>
      <c r="F18" s="1" t="n"/>
    </row>
    <row r="19" ht="22" customHeight="1">
      <c r="A19" s="1" t="n"/>
      <c r="B19" s="1" t="n"/>
      <c r="C19" s="32" t="inlineStr">
        <is>
          <t>Debit less credit</t>
        </is>
      </c>
      <c r="D19" s="33">
        <f>D18-E18</f>
        <v/>
      </c>
      <c r="E19" s="34" t="n"/>
      <c r="F19" s="1" t="n"/>
    </row>
    <row r="20" ht="22" customHeight="1">
      <c r="A20" s="1" t="n"/>
      <c r="B20" s="1" t="n"/>
      <c r="C20" s="32" t="inlineStr">
        <is>
          <t>Check</t>
        </is>
      </c>
      <c r="D20" s="32">
        <f>IF(OR(COUNTA(C5:C16)&lt;&gt;12,COUNT(D5:E16)&lt;&gt;24),"Not finished",IF(D19=0,"Balanced","Review"))</f>
        <v/>
      </c>
      <c r="E20" s="1" t="n"/>
      <c r="F20" s="1" t="n"/>
    </row>
    <row r="21" ht="22" customHeight="1">
      <c r="A21" s="1" t="n"/>
      <c r="B21" s="1" t="n"/>
      <c r="C21" s="1" t="n"/>
      <c r="D21" s="1" t="n"/>
      <c r="E21" s="1" t="n"/>
      <c r="F21" s="1" t="n"/>
    </row>
    <row r="22" ht="22" customHeight="1">
      <c r="A22" s="32" t="inlineStr">
        <is>
          <t>A zero difference does not prove that the accounts are correct.</t>
        </is>
      </c>
      <c r="F22" s="1" t="n"/>
    </row>
  </sheetData>
  <mergeCells count="3">
    <mergeCell ref="A2:E2"/>
    <mergeCell ref="A22:E22"/>
    <mergeCell ref="A1:E1"/>
  </mergeCells>
  <pageMargins left="0.7" right="0.7" top="0.75" bottom="0.75" header="0.3" footer="0.3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</cols>
  <sheetData>
    <row r="1" ht="31" customHeight="1">
      <c r="A1" s="27" t="inlineStr">
        <is>
          <t>Adjusted Trial Balance</t>
        </is>
      </c>
      <c r="H1" s="1" t="n"/>
    </row>
    <row r="2" ht="36" customHeight="1">
      <c r="A2" s="28" t="inlineStr">
        <is>
          <t>Post the six entries. Calculate each adjusted account balance.</t>
        </is>
      </c>
      <c r="H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 ht="32" customHeight="1">
      <c r="A4" s="29" t="inlineStr">
        <is>
          <t>Account</t>
        </is>
      </c>
      <c r="B4" s="30" t="inlineStr">
        <is>
          <t>Before Dr</t>
        </is>
      </c>
      <c r="C4" s="30" t="inlineStr">
        <is>
          <t>Before Cr</t>
        </is>
      </c>
      <c r="D4" s="30" t="inlineStr">
        <is>
          <t>Adjust Dr</t>
        </is>
      </c>
      <c r="E4" s="30" t="inlineStr">
        <is>
          <t>Adjust Cr</t>
        </is>
      </c>
      <c r="F4" s="30" t="inlineStr">
        <is>
          <t>After Dr</t>
        </is>
      </c>
      <c r="G4" s="31" t="inlineStr">
        <is>
          <t>After Cr</t>
        </is>
      </c>
      <c r="H4" s="1" t="n"/>
    </row>
    <row r="5" ht="22" customHeight="1">
      <c r="A5" s="32">
        <f>'Unadjusted TB'!A5</f>
        <v/>
      </c>
      <c r="B5" s="33">
        <f>'Unadjusted TB'!B5</f>
        <v/>
      </c>
      <c r="C5" s="33">
        <f>'Unadjusted TB'!C5</f>
        <v/>
      </c>
      <c r="D5" s="41" t="n"/>
      <c r="E5" s="41" t="n"/>
      <c r="F5" s="41" t="n"/>
      <c r="G5" s="41" t="n"/>
      <c r="H5" s="1" t="n"/>
    </row>
    <row r="6" ht="22" customHeight="1">
      <c r="A6" s="32">
        <f>'Unadjusted TB'!A6</f>
        <v/>
      </c>
      <c r="B6" s="33">
        <f>'Unadjusted TB'!B6</f>
        <v/>
      </c>
      <c r="C6" s="33">
        <f>'Unadjusted TB'!C6</f>
        <v/>
      </c>
      <c r="D6" s="41" t="n"/>
      <c r="E6" s="41" t="n"/>
      <c r="F6" s="41" t="n"/>
      <c r="G6" s="41" t="n"/>
      <c r="H6" s="1" t="n"/>
    </row>
    <row r="7" ht="22" customHeight="1">
      <c r="A7" s="32">
        <f>'Unadjusted TB'!A7</f>
        <v/>
      </c>
      <c r="B7" s="33">
        <f>'Unadjusted TB'!B7</f>
        <v/>
      </c>
      <c r="C7" s="33">
        <f>'Unadjusted TB'!C7</f>
        <v/>
      </c>
      <c r="D7" s="41" t="n"/>
      <c r="E7" s="41" t="n"/>
      <c r="F7" s="41" t="n"/>
      <c r="G7" s="41" t="n"/>
      <c r="H7" s="1" t="n"/>
    </row>
    <row r="8" ht="22" customHeight="1">
      <c r="A8" s="32">
        <f>'Unadjusted TB'!A8</f>
        <v/>
      </c>
      <c r="B8" s="33">
        <f>'Unadjusted TB'!B8</f>
        <v/>
      </c>
      <c r="C8" s="33">
        <f>'Unadjusted TB'!C8</f>
        <v/>
      </c>
      <c r="D8" s="41" t="n"/>
      <c r="E8" s="41" t="n"/>
      <c r="F8" s="41" t="n"/>
      <c r="G8" s="41" t="n"/>
      <c r="H8" s="1" t="n"/>
    </row>
    <row r="9" ht="22" customHeight="1">
      <c r="A9" s="32">
        <f>'Unadjusted TB'!A9</f>
        <v/>
      </c>
      <c r="B9" s="33">
        <f>'Unadjusted TB'!B9</f>
        <v/>
      </c>
      <c r="C9" s="33">
        <f>'Unadjusted TB'!C9</f>
        <v/>
      </c>
      <c r="D9" s="41" t="n"/>
      <c r="E9" s="41" t="n"/>
      <c r="F9" s="41" t="n"/>
      <c r="G9" s="41" t="n"/>
      <c r="H9" s="1" t="n"/>
    </row>
    <row r="10" ht="22" customHeight="1">
      <c r="A10" s="32">
        <f>'Unadjusted TB'!A10</f>
        <v/>
      </c>
      <c r="B10" s="33">
        <f>'Unadjusted TB'!B10</f>
        <v/>
      </c>
      <c r="C10" s="33">
        <f>'Unadjusted TB'!C10</f>
        <v/>
      </c>
      <c r="D10" s="41" t="n"/>
      <c r="E10" s="41" t="n"/>
      <c r="F10" s="41" t="n"/>
      <c r="G10" s="41" t="n"/>
      <c r="H10" s="1" t="n"/>
    </row>
    <row r="11" ht="22" customHeight="1">
      <c r="A11" s="32">
        <f>'Unadjusted TB'!A11</f>
        <v/>
      </c>
      <c r="B11" s="33">
        <f>'Unadjusted TB'!B11</f>
        <v/>
      </c>
      <c r="C11" s="33">
        <f>'Unadjusted TB'!C11</f>
        <v/>
      </c>
      <c r="D11" s="41" t="n"/>
      <c r="E11" s="41" t="n"/>
      <c r="F11" s="41" t="n"/>
      <c r="G11" s="41" t="n"/>
      <c r="H11" s="1" t="n"/>
    </row>
    <row r="12" ht="22" customHeight="1">
      <c r="A12" s="32">
        <f>'Unadjusted TB'!A12</f>
        <v/>
      </c>
      <c r="B12" s="33">
        <f>'Unadjusted TB'!B12</f>
        <v/>
      </c>
      <c r="C12" s="33">
        <f>'Unadjusted TB'!C12</f>
        <v/>
      </c>
      <c r="D12" s="41" t="n"/>
      <c r="E12" s="41" t="n"/>
      <c r="F12" s="41" t="n"/>
      <c r="G12" s="41" t="n"/>
      <c r="H12" s="1" t="n"/>
    </row>
    <row r="13" ht="22" customHeight="1">
      <c r="A13" s="32">
        <f>'Unadjusted TB'!A13</f>
        <v/>
      </c>
      <c r="B13" s="33">
        <f>'Unadjusted TB'!B13</f>
        <v/>
      </c>
      <c r="C13" s="33">
        <f>'Unadjusted TB'!C13</f>
        <v/>
      </c>
      <c r="D13" s="41" t="n"/>
      <c r="E13" s="41" t="n"/>
      <c r="F13" s="41" t="n"/>
      <c r="G13" s="41" t="n"/>
      <c r="H13" s="1" t="n"/>
    </row>
    <row r="14" ht="22" customHeight="1">
      <c r="A14" s="32">
        <f>'Unadjusted TB'!A14</f>
        <v/>
      </c>
      <c r="B14" s="33">
        <f>'Unadjusted TB'!B14</f>
        <v/>
      </c>
      <c r="C14" s="33">
        <f>'Unadjusted TB'!C14</f>
        <v/>
      </c>
      <c r="D14" s="41" t="n"/>
      <c r="E14" s="41" t="n"/>
      <c r="F14" s="41" t="n"/>
      <c r="G14" s="41" t="n"/>
      <c r="H14" s="1" t="n"/>
    </row>
    <row r="15" ht="22" customHeight="1">
      <c r="A15" s="32">
        <f>'Unadjusted TB'!A15</f>
        <v/>
      </c>
      <c r="B15" s="33">
        <f>'Unadjusted TB'!B15</f>
        <v/>
      </c>
      <c r="C15" s="33">
        <f>'Unadjusted TB'!C15</f>
        <v/>
      </c>
      <c r="D15" s="41" t="n"/>
      <c r="E15" s="41" t="n"/>
      <c r="F15" s="41" t="n"/>
      <c r="G15" s="41" t="n"/>
      <c r="H15" s="1" t="n"/>
    </row>
    <row r="16" ht="22" customHeight="1">
      <c r="A16" s="32">
        <f>'Unadjusted TB'!A16</f>
        <v/>
      </c>
      <c r="B16" s="33">
        <f>'Unadjusted TB'!B16</f>
        <v/>
      </c>
      <c r="C16" s="33">
        <f>'Unadjusted TB'!C16</f>
        <v/>
      </c>
      <c r="D16" s="41" t="n"/>
      <c r="E16" s="41" t="n"/>
      <c r="F16" s="41" t="n"/>
      <c r="G16" s="41" t="n"/>
      <c r="H16" s="1" t="n"/>
    </row>
    <row r="17" ht="22" customHeight="1">
      <c r="A17" s="32">
        <f>'Unadjusted TB'!A17</f>
        <v/>
      </c>
      <c r="B17" s="33">
        <f>'Unadjusted TB'!B17</f>
        <v/>
      </c>
      <c r="C17" s="33">
        <f>'Unadjusted TB'!C17</f>
        <v/>
      </c>
      <c r="D17" s="41" t="n"/>
      <c r="E17" s="41" t="n"/>
      <c r="F17" s="41" t="n"/>
      <c r="G17" s="41" t="n"/>
      <c r="H17" s="1" t="n"/>
    </row>
    <row r="18" ht="22" customHeight="1">
      <c r="A18" s="32">
        <f>'Unadjusted TB'!A18</f>
        <v/>
      </c>
      <c r="B18" s="33">
        <f>'Unadjusted TB'!B18</f>
        <v/>
      </c>
      <c r="C18" s="33">
        <f>'Unadjusted TB'!C18</f>
        <v/>
      </c>
      <c r="D18" s="41" t="n"/>
      <c r="E18" s="41" t="n"/>
      <c r="F18" s="41" t="n"/>
      <c r="G18" s="41" t="n"/>
      <c r="H18" s="1" t="n"/>
    </row>
    <row r="19" ht="22" customHeight="1">
      <c r="A19" s="32">
        <f>'Unadjusted TB'!A19</f>
        <v/>
      </c>
      <c r="B19" s="33">
        <f>'Unadjusted TB'!B19</f>
        <v/>
      </c>
      <c r="C19" s="33">
        <f>'Unadjusted TB'!C19</f>
        <v/>
      </c>
      <c r="D19" s="41" t="n"/>
      <c r="E19" s="41" t="n"/>
      <c r="F19" s="41" t="n"/>
      <c r="G19" s="41" t="n"/>
      <c r="H19" s="1" t="n"/>
    </row>
    <row r="20" ht="25" customHeight="1">
      <c r="A20" s="35" t="inlineStr">
        <is>
          <t>Totals</t>
        </is>
      </c>
      <c r="B20" s="36">
        <f>SUM(B5:B19)</f>
        <v/>
      </c>
      <c r="C20" s="36">
        <f>SUM(C5:C19)</f>
        <v/>
      </c>
      <c r="D20" s="36">
        <f>SUM(D5:D19)</f>
        <v/>
      </c>
      <c r="E20" s="36">
        <f>SUM(E5:E19)</f>
        <v/>
      </c>
      <c r="F20" s="36">
        <f>SUM(F5:F19)</f>
        <v/>
      </c>
      <c r="G20" s="37">
        <f>SUM(G5:G19)</f>
        <v/>
      </c>
      <c r="H20" s="1" t="n"/>
    </row>
    <row r="21" ht="22" customHeight="1">
      <c r="A21" s="32" t="inlineStr">
        <is>
          <t>Adjusted difference</t>
        </is>
      </c>
      <c r="B21" s="34" t="n"/>
      <c r="C21" s="34" t="n"/>
      <c r="D21" s="34" t="n"/>
      <c r="E21" s="34" t="n"/>
      <c r="F21" s="33">
        <f>IF(COUNT(D5:G19)&lt;&gt;60,"",F20-G20)</f>
        <v/>
      </c>
      <c r="G21" s="34" t="n"/>
      <c r="H21" s="1" t="n"/>
    </row>
    <row r="22" ht="22" customHeight="1">
      <c r="A22" s="32" t="inlineStr">
        <is>
          <t>Check entries and account balances before you make statements.</t>
        </is>
      </c>
      <c r="H22" s="1" t="n"/>
    </row>
    <row r="23" ht="22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</sheetData>
  <mergeCells count="3">
    <mergeCell ref="A2:G2"/>
    <mergeCell ref="A22:G22"/>
    <mergeCell ref="A1:G1"/>
  </mergeCells>
  <pageMargins left="0.7" right="0.7" top="0.75" bottom="0.75" header="0.3" footer="0.3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 ht="31" customHeight="1">
      <c r="A1" s="27" t="inlineStr">
        <is>
          <t>Financial Statements</t>
        </is>
      </c>
    </row>
    <row r="2" ht="36" customHeight="1">
      <c r="A2" s="28" t="inlineStr">
        <is>
          <t>Use the adjusted trial balance. Complete the statements in order.</t>
        </is>
      </c>
    </row>
    <row r="3" ht="22" customHeight="1">
      <c r="A3" s="1" t="n"/>
      <c r="B3" s="1" t="n"/>
      <c r="C3" s="1" t="n"/>
    </row>
    <row r="4" ht="32" customHeight="1">
      <c r="A4" s="38" t="inlineStr">
        <is>
          <t>Income Statement</t>
        </is>
      </c>
      <c r="B4" s="17" t="n"/>
      <c r="C4" s="1" t="n"/>
    </row>
    <row r="5" ht="22" customHeight="1">
      <c r="A5" s="32" t="inlineStr">
        <is>
          <t>Service Revenue</t>
        </is>
      </c>
      <c r="B5" s="41" t="n"/>
      <c r="C5" s="1" t="n"/>
    </row>
    <row r="6" ht="22" customHeight="1">
      <c r="A6" s="32" t="inlineStr">
        <is>
          <t>Supplies Expense</t>
        </is>
      </c>
      <c r="B6" s="41" t="n"/>
      <c r="C6" s="1" t="n"/>
    </row>
    <row r="7" ht="22" customHeight="1">
      <c r="A7" s="32" t="inlineStr">
        <is>
          <t>Insurance Expense</t>
        </is>
      </c>
      <c r="B7" s="41" t="n"/>
      <c r="C7" s="1" t="n"/>
    </row>
    <row r="8" ht="22" customHeight="1">
      <c r="A8" s="32" t="inlineStr">
        <is>
          <t>Depreciation Expense</t>
        </is>
      </c>
      <c r="B8" s="41" t="n"/>
      <c r="C8" s="1" t="n"/>
    </row>
    <row r="9" ht="22" customHeight="1">
      <c r="A9" s="32" t="inlineStr">
        <is>
          <t>Wages Expense</t>
        </is>
      </c>
      <c r="B9" s="41" t="n"/>
      <c r="C9" s="1" t="n"/>
    </row>
    <row r="10" ht="22" customHeight="1">
      <c r="A10" s="32" t="inlineStr">
        <is>
          <t>Total Expenses</t>
        </is>
      </c>
      <c r="B10" s="41" t="n"/>
      <c r="C10" s="1" t="n"/>
    </row>
    <row r="11" ht="25" customHeight="1">
      <c r="A11" s="35" t="inlineStr">
        <is>
          <t>Net Income</t>
        </is>
      </c>
      <c r="B11" s="43" t="n"/>
      <c r="C11" s="1" t="n"/>
    </row>
    <row r="12" ht="22" customHeight="1">
      <c r="A12" s="1" t="n"/>
      <c r="B12" s="34" t="n"/>
      <c r="C12" s="1" t="n"/>
    </row>
    <row r="13" ht="26" customHeight="1">
      <c r="A13" s="38" t="inlineStr">
        <is>
          <t>Statement of Retained Earnings</t>
        </is>
      </c>
      <c r="B13" s="44" t="n"/>
      <c r="C13" s="1" t="n"/>
    </row>
    <row r="14" ht="22" customHeight="1">
      <c r="A14" s="32" t="inlineStr">
        <is>
          <t>Beginning Retained Earnings</t>
        </is>
      </c>
      <c r="B14" s="33">
        <f>'Unadjusted TB'!C14</f>
        <v/>
      </c>
      <c r="C14" s="1" t="n"/>
    </row>
    <row r="15" ht="22" customHeight="1">
      <c r="A15" s="32" t="inlineStr">
        <is>
          <t>Net Income</t>
        </is>
      </c>
      <c r="B15" s="41" t="n"/>
      <c r="C15" s="1" t="n"/>
    </row>
    <row r="16" ht="25" customHeight="1">
      <c r="A16" s="35" t="inlineStr">
        <is>
          <t>Ending Retained Earnings</t>
        </is>
      </c>
      <c r="B16" s="43" t="n"/>
      <c r="C16" s="1" t="n"/>
    </row>
    <row r="17" ht="22" customHeight="1">
      <c r="A17" s="1" t="n"/>
      <c r="B17" s="34" t="n"/>
      <c r="C17" s="1" t="n"/>
    </row>
    <row r="18" ht="26" customHeight="1">
      <c r="A18" s="38" t="inlineStr">
        <is>
          <t>Balance Sheet</t>
        </is>
      </c>
      <c r="B18" s="44" t="n"/>
      <c r="C18" s="1" t="n"/>
    </row>
    <row r="19" ht="22" customHeight="1">
      <c r="A19" s="32" t="inlineStr">
        <is>
          <t>Cash</t>
        </is>
      </c>
      <c r="B19" s="41" t="n"/>
      <c r="C19" s="1" t="n"/>
    </row>
    <row r="20" ht="22" customHeight="1">
      <c r="A20" s="32" t="inlineStr">
        <is>
          <t>Accounts Receivable</t>
        </is>
      </c>
      <c r="B20" s="41" t="n"/>
      <c r="C20" s="1" t="n"/>
    </row>
    <row r="21" ht="22" customHeight="1">
      <c r="A21" s="32" t="inlineStr">
        <is>
          <t>Supplies</t>
        </is>
      </c>
      <c r="B21" s="41" t="n"/>
      <c r="C21" s="1" t="n"/>
    </row>
    <row r="22" ht="22" customHeight="1">
      <c r="A22" s="32" t="inlineStr">
        <is>
          <t>Prepaid Insurance</t>
        </is>
      </c>
      <c r="B22" s="41" t="n"/>
      <c r="C22" s="1" t="n"/>
    </row>
    <row r="23" ht="22" customHeight="1">
      <c r="A23" s="32" t="inlineStr">
        <is>
          <t>Equipment</t>
        </is>
      </c>
      <c r="B23" s="41" t="n"/>
      <c r="C23" s="1" t="n"/>
    </row>
    <row r="24" ht="32" customHeight="1">
      <c r="A24" s="32" t="inlineStr">
        <is>
          <t>Accumulated Depreciation (subtract)</t>
        </is>
      </c>
      <c r="B24" s="41" t="n"/>
      <c r="C24" s="1" t="n"/>
    </row>
    <row r="25" ht="25" customHeight="1">
      <c r="A25" s="35" t="inlineStr">
        <is>
          <t>Total Assets</t>
        </is>
      </c>
      <c r="B25" s="43" t="n"/>
      <c r="C25" s="1" t="n"/>
    </row>
    <row r="26" ht="22" customHeight="1">
      <c r="A26" s="1" t="n"/>
      <c r="B26" s="34" t="n"/>
      <c r="C26" s="1" t="n"/>
    </row>
    <row r="27" ht="22" customHeight="1">
      <c r="A27" s="32" t="inlineStr">
        <is>
          <t>Accounts Payable</t>
        </is>
      </c>
      <c r="B27" s="41" t="n"/>
      <c r="C27" s="1" t="n"/>
    </row>
    <row r="28" ht="22" customHeight="1">
      <c r="A28" s="32" t="inlineStr">
        <is>
          <t>Wages Payable</t>
        </is>
      </c>
      <c r="B28" s="41" t="n"/>
      <c r="C28" s="1" t="n"/>
    </row>
    <row r="29" ht="22" customHeight="1">
      <c r="A29" s="32" t="inlineStr">
        <is>
          <t>Unearned Revenue</t>
        </is>
      </c>
      <c r="B29" s="41" t="n"/>
      <c r="C29" s="1" t="n"/>
    </row>
    <row r="30" ht="25" customHeight="1">
      <c r="A30" s="35" t="inlineStr">
        <is>
          <t>Total Liabilities</t>
        </is>
      </c>
      <c r="B30" s="43" t="n"/>
      <c r="C30" s="1" t="n"/>
    </row>
    <row r="31" ht="22" customHeight="1">
      <c r="A31" s="1" t="n"/>
      <c r="B31" s="34" t="n"/>
      <c r="C31" s="1" t="n"/>
    </row>
    <row r="32" ht="22" customHeight="1">
      <c r="A32" s="32" t="inlineStr">
        <is>
          <t>Ending Retained Earnings</t>
        </is>
      </c>
      <c r="B32" s="41" t="n"/>
      <c r="C32" s="1" t="n"/>
    </row>
    <row r="33" ht="25" customHeight="1">
      <c r="A33" s="35" t="inlineStr">
        <is>
          <t>Total Liabilities and Equity</t>
        </is>
      </c>
      <c r="B33" s="43" t="n"/>
      <c r="C33" s="1" t="n"/>
    </row>
    <row r="34" ht="22" customHeight="1">
      <c r="A34" s="1" t="n"/>
      <c r="B34" s="34" t="n"/>
      <c r="C34" s="1" t="n"/>
    </row>
    <row r="35" ht="22" customHeight="1">
      <c r="A35" s="32" t="inlineStr">
        <is>
          <t>Balance Sheet difference</t>
        </is>
      </c>
      <c r="B35" s="33">
        <f>IF(COUNT(B25,B33)&lt;2,"",B25-B33)</f>
        <v/>
      </c>
      <c r="C35" s="1" t="n"/>
    </row>
    <row r="36" ht="22" customHeight="1">
      <c r="A36" s="1" t="n"/>
      <c r="B36" s="1" t="n"/>
      <c r="C36" s="1" t="n"/>
    </row>
    <row r="37" ht="36" customHeight="1">
      <c r="A37" s="32" t="inlineStr">
        <is>
          <t>Net Income moves to Retained Earnings. Ending Retained Earnings moves to the Balance Sheet.</t>
        </is>
      </c>
    </row>
    <row r="38" ht="22" customHeight="1">
      <c r="A38" s="1" t="n"/>
      <c r="B38" s="1" t="n"/>
      <c r="C38" s="1" t="n"/>
    </row>
  </sheetData>
  <mergeCells count="3">
    <mergeCell ref="A1:C1"/>
    <mergeCell ref="A37:C37"/>
    <mergeCell ref="A2:C2"/>
  </mergeCells>
  <pageMargins left="0.7" right="0.7" top="0.75" bottom="0.75" header="0.3" footer="0.3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32" customWidth="1" min="3" max="3"/>
    <col width="17" customWidth="1" min="4" max="4"/>
    <col width="17" customWidth="1" min="5" max="5"/>
    <col width="17" customWidth="1" min="6" max="6"/>
  </cols>
  <sheetData>
    <row r="1" ht="31" customHeight="1">
      <c r="A1" s="27" t="inlineStr">
        <is>
          <t>Closing Entries</t>
        </is>
      </c>
      <c r="F1" s="1" t="n"/>
    </row>
    <row r="2" ht="36" customHeight="1">
      <c r="A2" s="28" t="inlineStr">
        <is>
          <t>Close revenue, expenses, and Income Summary after the statements.</t>
        </is>
      </c>
      <c r="F2" s="1" t="n"/>
    </row>
    <row r="3" ht="22" customHeight="1">
      <c r="A3" s="1" t="n"/>
      <c r="B3" s="1" t="n"/>
      <c r="C3" s="1" t="n"/>
      <c r="D3" s="1" t="n"/>
      <c r="E3" s="1" t="n"/>
      <c r="F3" s="1" t="n"/>
    </row>
    <row r="4" ht="32" customHeight="1">
      <c r="A4" s="29" t="inlineStr">
        <is>
          <t>Step</t>
        </is>
      </c>
      <c r="B4" s="30" t="inlineStr">
        <is>
          <t>Date</t>
        </is>
      </c>
      <c r="C4" s="30" t="inlineStr">
        <is>
          <t>Account</t>
        </is>
      </c>
      <c r="D4" s="30" t="inlineStr">
        <is>
          <t>Debit</t>
        </is>
      </c>
      <c r="E4" s="31" t="inlineStr">
        <is>
          <t>Credit</t>
        </is>
      </c>
      <c r="F4" s="1" t="n"/>
    </row>
    <row r="5" ht="22" customHeight="1">
      <c r="A5" s="32" t="inlineStr">
        <is>
          <t>Close revenue</t>
        </is>
      </c>
      <c r="B5" s="32" t="inlineStr">
        <is>
          <t>March 31</t>
        </is>
      </c>
      <c r="C5" s="20" t="n"/>
      <c r="D5" s="41" t="n"/>
      <c r="E5" s="41" t="n"/>
      <c r="F5" s="1" t="n"/>
    </row>
    <row r="6" ht="22" customHeight="1">
      <c r="A6" s="1" t="n"/>
      <c r="B6" s="32" t="inlineStr">
        <is>
          <t>March 31</t>
        </is>
      </c>
      <c r="C6" s="20" t="n"/>
      <c r="D6" s="41" t="n"/>
      <c r="E6" s="41" t="n"/>
      <c r="F6" s="1" t="n"/>
    </row>
    <row r="7" ht="22" customHeight="1">
      <c r="A7" s="32" t="inlineStr">
        <is>
          <t>Close expenses</t>
        </is>
      </c>
      <c r="B7" s="32" t="inlineStr">
        <is>
          <t>March 31</t>
        </is>
      </c>
      <c r="C7" s="20" t="n"/>
      <c r="D7" s="41" t="n"/>
      <c r="E7" s="41" t="n"/>
      <c r="F7" s="1" t="n"/>
    </row>
    <row r="8" ht="22" customHeight="1">
      <c r="A8" s="1" t="n"/>
      <c r="B8" s="32" t="inlineStr">
        <is>
          <t>March 31</t>
        </is>
      </c>
      <c r="C8" s="20" t="n"/>
      <c r="D8" s="41" t="n"/>
      <c r="E8" s="41" t="n"/>
      <c r="F8" s="1" t="n"/>
    </row>
    <row r="9" ht="22" customHeight="1">
      <c r="A9" s="1" t="n"/>
      <c r="B9" s="32" t="inlineStr">
        <is>
          <t>March 31</t>
        </is>
      </c>
      <c r="C9" s="20" t="n"/>
      <c r="D9" s="41" t="n"/>
      <c r="E9" s="41" t="n"/>
      <c r="F9" s="1" t="n"/>
    </row>
    <row r="10" ht="22" customHeight="1">
      <c r="A10" s="1" t="n"/>
      <c r="B10" s="32" t="inlineStr">
        <is>
          <t>March 31</t>
        </is>
      </c>
      <c r="C10" s="20" t="n"/>
      <c r="D10" s="41" t="n"/>
      <c r="E10" s="41" t="n"/>
      <c r="F10" s="1" t="n"/>
    </row>
    <row r="11" ht="22" customHeight="1">
      <c r="A11" s="1" t="n"/>
      <c r="B11" s="32" t="inlineStr">
        <is>
          <t>March 31</t>
        </is>
      </c>
      <c r="C11" s="20" t="n"/>
      <c r="D11" s="41" t="n"/>
      <c r="E11" s="41" t="n"/>
      <c r="F11" s="1" t="n"/>
    </row>
    <row r="12" ht="22" customHeight="1">
      <c r="A12" s="32" t="inlineStr">
        <is>
          <t>Close Income Summary</t>
        </is>
      </c>
      <c r="B12" s="32" t="inlineStr">
        <is>
          <t>March 31</t>
        </is>
      </c>
      <c r="C12" s="20" t="n"/>
      <c r="D12" s="41" t="n"/>
      <c r="E12" s="41" t="n"/>
      <c r="F12" s="1" t="n"/>
    </row>
    <row r="13" ht="22" customHeight="1">
      <c r="A13" s="1" t="n"/>
      <c r="B13" s="32" t="inlineStr">
        <is>
          <t>March 31</t>
        </is>
      </c>
      <c r="C13" s="20" t="n"/>
      <c r="D13" s="41" t="n"/>
      <c r="E13" s="41" t="n"/>
      <c r="F13" s="1" t="n"/>
    </row>
    <row r="14" ht="22" customHeight="1">
      <c r="A14" s="1" t="n"/>
      <c r="B14" s="1" t="n"/>
      <c r="C14" s="1" t="n"/>
      <c r="D14" s="34" t="n"/>
      <c r="E14" s="34" t="n"/>
      <c r="F14" s="1" t="n"/>
    </row>
    <row r="15" ht="25" customHeight="1">
      <c r="A15" s="1" t="n"/>
      <c r="B15" s="1" t="n"/>
      <c r="C15" s="35" t="inlineStr">
        <is>
          <t>Closing totals</t>
        </is>
      </c>
      <c r="D15" s="36">
        <f>SUM(D5:D13)</f>
        <v/>
      </c>
      <c r="E15" s="37">
        <f>SUM(E5:E13)</f>
        <v/>
      </c>
      <c r="F15" s="1" t="n"/>
    </row>
    <row r="16" ht="22" customHeight="1">
      <c r="A16" s="1" t="n"/>
      <c r="B16" s="1" t="n"/>
      <c r="C16" s="32" t="inlineStr">
        <is>
          <t>Debit less credit</t>
        </is>
      </c>
      <c r="D16" s="33">
        <f>IF(OR(COUNTA(C5:C13)&lt;&gt;9,COUNT(D5:E13)&lt;&gt;18),"",D15-E15)</f>
        <v/>
      </c>
      <c r="E16" s="34" t="n"/>
      <c r="F16" s="1" t="n"/>
    </row>
    <row r="17" ht="22" customHeight="1">
      <c r="A17" s="1" t="n"/>
      <c r="B17" s="1" t="n"/>
      <c r="C17" s="1" t="n"/>
      <c r="D17" s="1" t="n"/>
      <c r="E17" s="1" t="n"/>
      <c r="F17" s="1" t="n"/>
    </row>
    <row r="18" ht="22" customHeight="1">
      <c r="A18" s="1" t="n"/>
      <c r="B18" s="1" t="n"/>
      <c r="C18" s="1" t="n"/>
      <c r="D18" s="1" t="n"/>
      <c r="E18" s="1" t="n"/>
      <c r="F18" s="1" t="n"/>
    </row>
    <row r="19" ht="22" customHeight="1">
      <c r="A19" s="32" t="inlineStr">
        <is>
          <t>Each temporary account must have a zero balance after closing.</t>
        </is>
      </c>
      <c r="F19" s="1" t="n"/>
    </row>
    <row r="20" ht="22" customHeight="1">
      <c r="A20" s="1" t="n"/>
      <c r="B20" s="1" t="n"/>
      <c r="C20" s="1" t="n"/>
      <c r="D20" s="1" t="n"/>
      <c r="E20" s="1" t="n"/>
      <c r="F20" s="1" t="n"/>
    </row>
    <row r="21" ht="22" customHeight="1">
      <c r="A21" s="1" t="n"/>
      <c r="B21" s="1" t="n"/>
      <c r="C21" s="1" t="n"/>
      <c r="D21" s="1" t="n"/>
      <c r="E21" s="1" t="n"/>
      <c r="F21" s="1" t="n"/>
    </row>
  </sheetData>
  <mergeCells count="3">
    <mergeCell ref="A2:E2"/>
    <mergeCell ref="A1:E1"/>
    <mergeCell ref="A19:E19"/>
  </mergeCells>
  <pageMargins left="0.7" right="0.7" top="0.75" bottom="0.75" header="0.3" footer="0.3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7" customWidth="1" min="4" max="4"/>
  </cols>
  <sheetData>
    <row r="1" ht="31" customHeight="1">
      <c r="A1" s="27" t="inlineStr">
        <is>
          <t>Post-closing Trial Balance</t>
        </is>
      </c>
    </row>
    <row r="2" ht="36" customHeight="1">
      <c r="A2" s="28" t="inlineStr">
        <is>
          <t>Enter permanent accounts only. Carry forward their balances after closing.</t>
        </is>
      </c>
    </row>
    <row r="3" ht="22" customHeight="1">
      <c r="A3" s="1" t="n"/>
      <c r="B3" s="1" t="n"/>
      <c r="C3" s="1" t="n"/>
      <c r="D3" s="1" t="n"/>
    </row>
    <row r="4" ht="32" customHeight="1">
      <c r="A4" s="29" t="inlineStr">
        <is>
          <t>Account</t>
        </is>
      </c>
      <c r="B4" s="30" t="inlineStr">
        <is>
          <t>Debit</t>
        </is>
      </c>
      <c r="C4" s="31" t="inlineStr">
        <is>
          <t>Credit</t>
        </is>
      </c>
      <c r="D4" s="1" t="n"/>
    </row>
    <row r="5" ht="22" customHeight="1">
      <c r="A5" s="32" t="inlineStr">
        <is>
          <t>Cash</t>
        </is>
      </c>
      <c r="B5" s="41" t="n"/>
      <c r="C5" s="41" t="n"/>
      <c r="D5" s="1" t="n"/>
    </row>
    <row r="6" ht="22" customHeight="1">
      <c r="A6" s="32" t="inlineStr">
        <is>
          <t>Accounts Receivable</t>
        </is>
      </c>
      <c r="B6" s="41" t="n"/>
      <c r="C6" s="41" t="n"/>
      <c r="D6" s="1" t="n"/>
    </row>
    <row r="7" ht="22" customHeight="1">
      <c r="A7" s="32" t="inlineStr">
        <is>
          <t>Supplies</t>
        </is>
      </c>
      <c r="B7" s="41" t="n"/>
      <c r="C7" s="41" t="n"/>
      <c r="D7" s="1" t="n"/>
    </row>
    <row r="8" ht="22" customHeight="1">
      <c r="A8" s="32" t="inlineStr">
        <is>
          <t>Prepaid Insurance</t>
        </is>
      </c>
      <c r="B8" s="41" t="n"/>
      <c r="C8" s="41" t="n"/>
      <c r="D8" s="1" t="n"/>
    </row>
    <row r="9" ht="22" customHeight="1">
      <c r="A9" s="32" t="inlineStr">
        <is>
          <t>Equipment</t>
        </is>
      </c>
      <c r="B9" s="41" t="n"/>
      <c r="C9" s="41" t="n"/>
      <c r="D9" s="1" t="n"/>
    </row>
    <row r="10" ht="22" customHeight="1">
      <c r="A10" s="32" t="inlineStr">
        <is>
          <t>Accumulated Depreciation</t>
        </is>
      </c>
      <c r="B10" s="41" t="n"/>
      <c r="C10" s="41" t="n"/>
      <c r="D10" s="1" t="n"/>
    </row>
    <row r="11" ht="22" customHeight="1">
      <c r="A11" s="32" t="inlineStr">
        <is>
          <t>Accounts Payable</t>
        </is>
      </c>
      <c r="B11" s="41" t="n"/>
      <c r="C11" s="41" t="n"/>
      <c r="D11" s="1" t="n"/>
    </row>
    <row r="12" ht="22" customHeight="1">
      <c r="A12" s="32" t="inlineStr">
        <is>
          <t>Wages Payable</t>
        </is>
      </c>
      <c r="B12" s="41" t="n"/>
      <c r="C12" s="41" t="n"/>
      <c r="D12" s="1" t="n"/>
    </row>
    <row r="13" ht="22" customHeight="1">
      <c r="A13" s="32" t="inlineStr">
        <is>
          <t>Unearned Revenue</t>
        </is>
      </c>
      <c r="B13" s="41" t="n"/>
      <c r="C13" s="41" t="n"/>
      <c r="D13" s="1" t="n"/>
    </row>
    <row r="14" ht="22" customHeight="1">
      <c r="A14" s="32" t="inlineStr">
        <is>
          <t>Retained Earnings</t>
        </is>
      </c>
      <c r="B14" s="41" t="n"/>
      <c r="C14" s="41" t="n"/>
      <c r="D14" s="1" t="n"/>
    </row>
    <row r="15" ht="25" customHeight="1">
      <c r="A15" s="35" t="inlineStr">
        <is>
          <t>Post-closing totals</t>
        </is>
      </c>
      <c r="B15" s="36">
        <f>SUM(B5:B14)</f>
        <v/>
      </c>
      <c r="C15" s="37">
        <f>SUM(C5:C14)</f>
        <v/>
      </c>
      <c r="D15" s="1" t="n"/>
    </row>
    <row r="16" ht="22" customHeight="1">
      <c r="A16" s="32" t="inlineStr">
        <is>
          <t>Debit less credit</t>
        </is>
      </c>
      <c r="B16" s="33">
        <f>IF(COUNT(B5:C14)&lt;&gt;20,"",B15-C15)</f>
        <v/>
      </c>
      <c r="C16" s="34" t="n"/>
      <c r="D16" s="1" t="n"/>
    </row>
    <row r="17" ht="22" customHeight="1">
      <c r="A17" s="1" t="n"/>
      <c r="B17" s="1" t="n"/>
      <c r="C17" s="1" t="n"/>
      <c r="D17" s="1" t="n"/>
    </row>
    <row r="18" ht="22" customHeight="1">
      <c r="A18" s="32" t="inlineStr">
        <is>
          <t>Do not include revenue, expense, or Income Summary accounts.</t>
        </is>
      </c>
    </row>
    <row r="19" ht="22" customHeight="1">
      <c r="A19" s="1" t="n"/>
      <c r="B19" s="1" t="n"/>
      <c r="C19" s="1" t="n"/>
      <c r="D19" s="1" t="n"/>
    </row>
  </sheetData>
  <mergeCells count="3">
    <mergeCell ref="A1:D1"/>
    <mergeCell ref="A18:D18"/>
    <mergeCell ref="A2:D2"/>
  </mergeCells>
  <pageMargins left="0.7" right="0.7" top="0.75" bottom="0.7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2026-09-30T11:55:40Z</dcterms:created>
  <dcterms:modified xmlns:dcterms="http://purl.org/dc/terms/" xmlns:xsi="http://www.w3.org/2001/XMLSchema-instance" xsi:type="dcterms:W3CDTF">2026-09-30T11:55:41Z</dcterms:modified>
</cp:coreProperties>
</file>