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MethodSummary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KPI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</cols>
  <sheetData>
    <row r="1">
      <c r="A1" s="1" t="inlineStr">
        <is>
          <t>Scenario Switch Controls</t>
        </is>
      </c>
    </row>
    <row r="3">
      <c r="A3" s="2" t="inlineStr">
        <is>
          <t>Control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SelectedScenario</t>
        </is>
      </c>
      <c r="B4" t="inlineStr">
        <is>
          <t>Base</t>
        </is>
      </c>
      <c r="C4" t="inlineStr">
        <is>
          <t>Base, Stretch, Downside</t>
        </is>
      </c>
    </row>
    <row r="5">
      <c r="A5" s="3" t="inlineStr">
        <is>
          <t>SelectedMethod</t>
        </is>
      </c>
      <c r="B5" t="inlineStr">
        <is>
          <t>FIFO</t>
        </is>
      </c>
      <c r="C5" t="inlineStr">
        <is>
          <t>FIFO, LIFO, Weighted Average</t>
        </is>
      </c>
    </row>
    <row r="6">
      <c r="A6" s="3" t="inlineStr">
        <is>
          <t>SelectedKey</t>
        </is>
      </c>
      <c r="B6">
        <f>B4&amp;"|"&amp;B5</f>
        <v/>
      </c>
    </row>
    <row r="8">
      <c r="A8" s="3" t="inlineStr">
        <is>
          <t>UnitSellingPrice</t>
        </is>
      </c>
      <c r="B8" t="n">
        <v>40</v>
      </c>
    </row>
    <row r="9">
      <c r="A9" s="3" t="inlineStr">
        <is>
          <t>BeginningInventory</t>
        </is>
      </c>
      <c r="B9" t="n">
        <v>180</v>
      </c>
    </row>
    <row r="10">
      <c r="A10" s="3" t="inlineStr">
        <is>
          <t>GAFS</t>
        </is>
      </c>
      <c r="B10" t="n">
        <v>1150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</cols>
  <sheetData>
    <row r="1">
      <c r="A1" s="2" t="inlineStr">
        <is>
          <t>Scenario</t>
        </is>
      </c>
      <c r="B1" s="2" t="inlineStr">
        <is>
          <t>UnitsSold</t>
        </is>
      </c>
      <c r="C1" s="2" t="inlineStr">
        <is>
          <t>DefaultMethod</t>
        </is>
      </c>
      <c r="D1" s="2" t="inlineStr">
        <is>
          <t>AsOfDate</t>
        </is>
      </c>
    </row>
    <row r="2">
      <c r="A2" t="inlineStr">
        <is>
          <t>Base</t>
        </is>
      </c>
      <c r="B2" t="n">
        <v>35</v>
      </c>
      <c r="C2" t="inlineStr">
        <is>
          <t>FIFO</t>
        </is>
      </c>
      <c r="D2" t="inlineStr">
        <is>
          <t>2026-03-31</t>
        </is>
      </c>
    </row>
    <row r="3">
      <c r="A3" t="inlineStr">
        <is>
          <t>Stretch</t>
        </is>
      </c>
      <c r="B3" t="n">
        <v>39</v>
      </c>
      <c r="C3" t="inlineStr">
        <is>
          <t>LIFO</t>
        </is>
      </c>
      <c r="D3" t="inlineStr">
        <is>
          <t>2026-03-31</t>
        </is>
      </c>
    </row>
    <row r="4">
      <c r="A4" t="inlineStr">
        <is>
          <t>Downside</t>
        </is>
      </c>
      <c r="B4" t="n">
        <v>32</v>
      </c>
      <c r="C4" t="inlineStr">
        <is>
          <t>Weighted Average</t>
        </is>
      </c>
      <c r="D4" t="inlineStr">
        <is>
          <t>2026-03-31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2" customWidth="1" min="4" max="4"/>
    <col width="16" customWidth="1" min="5" max="5"/>
    <col width="14" customWidth="1" min="6" max="6"/>
  </cols>
  <sheetData>
    <row r="1">
      <c r="A1" s="2" t="inlineStr">
        <is>
          <t>Key</t>
        </is>
      </c>
      <c r="B1" s="2" t="inlineStr">
        <is>
          <t>Scenario</t>
        </is>
      </c>
      <c r="C1" s="2" t="inlineStr">
        <is>
          <t>Method</t>
        </is>
      </c>
      <c r="D1" s="2" t="inlineStr">
        <is>
          <t>COGS</t>
        </is>
      </c>
      <c r="E1" s="2" t="inlineStr">
        <is>
          <t>EndingInventory</t>
        </is>
      </c>
      <c r="F1" s="2" t="inlineStr">
        <is>
          <t>BalanceCheck</t>
        </is>
      </c>
    </row>
    <row r="2">
      <c r="A2" t="inlineStr">
        <is>
          <t>Base|FIFO</t>
        </is>
      </c>
      <c r="B2" t="inlineStr">
        <is>
          <t>Base</t>
        </is>
      </c>
      <c r="C2" t="inlineStr">
        <is>
          <t>FIFO</t>
        </is>
      </c>
      <c r="D2" t="n">
        <v>690</v>
      </c>
      <c r="E2" t="n">
        <v>460</v>
      </c>
      <c r="F2">
        <f>D2+E2</f>
        <v/>
      </c>
    </row>
    <row r="3">
      <c r="A3" t="inlineStr">
        <is>
          <t>Base|LIFO</t>
        </is>
      </c>
      <c r="B3" t="inlineStr">
        <is>
          <t>Base</t>
        </is>
      </c>
      <c r="C3" t="inlineStr">
        <is>
          <t>LIFO</t>
        </is>
      </c>
      <c r="D3" t="n">
        <v>770</v>
      </c>
      <c r="E3" t="n">
        <v>380</v>
      </c>
      <c r="F3">
        <f>D3+E3</f>
        <v/>
      </c>
    </row>
    <row r="4">
      <c r="A4" t="inlineStr">
        <is>
          <t>Base|Weighted Average</t>
        </is>
      </c>
      <c r="B4" t="inlineStr">
        <is>
          <t>Base</t>
        </is>
      </c>
      <c r="C4" t="inlineStr">
        <is>
          <t>Weighted Average</t>
        </is>
      </c>
      <c r="D4" t="n">
        <v>731.8200000000001</v>
      </c>
      <c r="E4" t="n">
        <v>418.18</v>
      </c>
      <c r="F4">
        <f>D4+E4</f>
        <v/>
      </c>
    </row>
    <row r="5">
      <c r="A5" t="inlineStr">
        <is>
          <t>Stretch|FIFO</t>
        </is>
      </c>
      <c r="B5" t="inlineStr">
        <is>
          <t>Stretch</t>
        </is>
      </c>
      <c r="C5" t="inlineStr">
        <is>
          <t>FIFO</t>
        </is>
      </c>
      <c r="D5" t="n">
        <v>778</v>
      </c>
      <c r="E5" t="n">
        <v>372</v>
      </c>
      <c r="F5">
        <f>D5+E5</f>
        <v/>
      </c>
    </row>
    <row r="6">
      <c r="A6" t="inlineStr">
        <is>
          <t>Stretch|LIFO</t>
        </is>
      </c>
      <c r="B6" t="inlineStr">
        <is>
          <t>Stretch</t>
        </is>
      </c>
      <c r="C6" t="inlineStr">
        <is>
          <t>LIFO</t>
        </is>
      </c>
      <c r="D6" t="n">
        <v>850</v>
      </c>
      <c r="E6" t="n">
        <v>300</v>
      </c>
      <c r="F6">
        <f>D6+E6</f>
        <v/>
      </c>
    </row>
    <row r="7">
      <c r="A7" t="inlineStr">
        <is>
          <t>Stretch|Weighted Average</t>
        </is>
      </c>
      <c r="B7" t="inlineStr">
        <is>
          <t>Stretch</t>
        </is>
      </c>
      <c r="C7" t="inlineStr">
        <is>
          <t>Weighted Average</t>
        </is>
      </c>
      <c r="D7" t="n">
        <v>815.45</v>
      </c>
      <c r="E7" t="n">
        <v>334.55</v>
      </c>
      <c r="F7">
        <f>D7+E7</f>
        <v/>
      </c>
    </row>
    <row r="8">
      <c r="A8" t="inlineStr">
        <is>
          <t>Downside|FIFO</t>
        </is>
      </c>
      <c r="B8" t="inlineStr">
        <is>
          <t>Downside</t>
        </is>
      </c>
      <c r="C8" t="inlineStr">
        <is>
          <t>FIFO</t>
        </is>
      </c>
      <c r="D8" t="n">
        <v>624</v>
      </c>
      <c r="E8" t="n">
        <v>526</v>
      </c>
      <c r="F8">
        <f>D8+E8</f>
        <v/>
      </c>
    </row>
    <row r="9">
      <c r="A9" t="inlineStr">
        <is>
          <t>Downside|LIFO</t>
        </is>
      </c>
      <c r="B9" t="inlineStr">
        <is>
          <t>Downside</t>
        </is>
      </c>
      <c r="C9" t="inlineStr">
        <is>
          <t>LIFO</t>
        </is>
      </c>
      <c r="D9" t="n">
        <v>710</v>
      </c>
      <c r="E9" t="n">
        <v>440</v>
      </c>
      <c r="F9">
        <f>D9+E9</f>
        <v/>
      </c>
    </row>
    <row r="10">
      <c r="A10" t="inlineStr">
        <is>
          <t>Downside|Weighted Average</t>
        </is>
      </c>
      <c r="B10" t="inlineStr">
        <is>
          <t>Downside</t>
        </is>
      </c>
      <c r="C10" t="inlineStr">
        <is>
          <t>Weighted Average</t>
        </is>
      </c>
      <c r="D10" t="n">
        <v>669.09</v>
      </c>
      <c r="E10" t="n">
        <v>480.91</v>
      </c>
      <c r="F10">
        <f>D10+E10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50" customWidth="1" min="3" max="3"/>
  </cols>
  <sheetData>
    <row r="1">
      <c r="A1" s="2" t="inlineStr">
        <is>
          <t>Output</t>
        </is>
      </c>
      <c r="B1" s="2" t="inlineStr">
        <is>
          <t>Value</t>
        </is>
      </c>
      <c r="C1" s="2" t="inlineStr">
        <is>
          <t>Formula Pattern</t>
        </is>
      </c>
    </row>
    <row r="2">
      <c r="A2" t="inlineStr">
        <is>
          <t>SelectedUnitsSold</t>
        </is>
      </c>
      <c r="B2">
        <f>XLOOKUP(Inputs!$B$4,Drivers!$A$2:$A$4,Drivers!$B$2:$B$4)</f>
        <v/>
      </c>
      <c r="C2" t="inlineStr">
        <is>
          <t>XLOOKUP(SelectedScenario, Drivers[Scenario], Drivers[UnitsSold])</t>
        </is>
      </c>
    </row>
    <row r="3">
      <c r="A3" t="inlineStr">
        <is>
          <t>SelectedCOGS</t>
        </is>
      </c>
      <c r="B3">
        <f>XLOOKUP(Inputs!$B$6,MethodSummary!$A$2:$A$10,MethodSummary!$D$2:$D$10)</f>
        <v/>
      </c>
      <c r="C3" t="inlineStr">
        <is>
          <t>XLOOKUP(SelectedKey, MethodSummary[Key], MethodSummary[COGS])</t>
        </is>
      </c>
    </row>
    <row r="4">
      <c r="A4" t="inlineStr">
        <is>
          <t>SelectedEndingInventory</t>
        </is>
      </c>
      <c r="B4">
        <f>XLOOKUP(Inputs!$B$6,MethodSummary!$A$2:$A$10,MethodSummary!$E$2:$E$10)</f>
        <v/>
      </c>
      <c r="C4" t="inlineStr">
        <is>
          <t>XLOOKUP(SelectedKey, MethodSummary[Key], MethodSummary[EndingInventory])</t>
        </is>
      </c>
    </row>
    <row r="5">
      <c r="A5" t="inlineStr">
        <is>
          <t>GAFS</t>
        </is>
      </c>
      <c r="B5">
        <f>Inputs!$B$10</f>
        <v/>
      </c>
      <c r="C5" t="inlineStr">
        <is>
          <t>Input from Inputs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5" customWidth="1" min="3" max="3"/>
  </cols>
  <sheetData>
    <row r="1">
      <c r="A1" s="2" t="inlineStr">
        <is>
          <t>KPI</t>
        </is>
      </c>
      <c r="B1" s="2" t="inlineStr">
        <is>
          <t>Value</t>
        </is>
      </c>
      <c r="C1" s="2" t="inlineStr">
        <is>
          <t>Formula Pattern</t>
        </is>
      </c>
    </row>
    <row r="2">
      <c r="A2" t="inlineStr">
        <is>
          <t>Revenue</t>
        </is>
      </c>
      <c r="B2">
        <f>Outputs!$B$2*Inputs!$B$8</f>
        <v/>
      </c>
      <c r="C2" t="inlineStr">
        <is>
          <t>SelectedUnitsSold * UnitSellingPrice</t>
        </is>
      </c>
    </row>
    <row r="3">
      <c r="A3" t="inlineStr">
        <is>
          <t>GrossMarginPct</t>
        </is>
      </c>
      <c r="B3">
        <f>(B2-Outputs!$B$3)/B2</f>
        <v/>
      </c>
      <c r="C3" t="inlineStr">
        <is>
          <t>(Revenue - SelectedCOGS) / Revenue</t>
        </is>
      </c>
    </row>
    <row r="4">
      <c r="A4" t="inlineStr">
        <is>
          <t>AverageInventory</t>
        </is>
      </c>
      <c r="B4">
        <f>(Inputs!$B$9+Outputs!$B$4)/2</f>
        <v/>
      </c>
      <c r="C4" t="inlineStr">
        <is>
          <t>(BeginningInventory + SelectedEndingInventory) / 2</t>
        </is>
      </c>
    </row>
    <row r="5">
      <c r="A5" t="inlineStr">
        <is>
          <t>InventoryTurnover</t>
        </is>
      </c>
      <c r="B5">
        <f>Outputs!$B$3/B4</f>
        <v/>
      </c>
      <c r="C5" t="inlineStr">
        <is>
          <t>SelectedCOGS / AverageInventory</t>
        </is>
      </c>
    </row>
    <row r="6">
      <c r="A6" t="inlineStr">
        <is>
          <t>DaysOnHand</t>
        </is>
      </c>
      <c r="B6">
        <f>365/B5</f>
        <v/>
      </c>
      <c r="C6" t="inlineStr">
        <is>
          <t>365 / InventoryTurnover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62" customWidth="1" min="3" max="3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Formula Pattern</t>
        </is>
      </c>
    </row>
    <row r="2">
      <c r="A2" t="inlineStr">
        <is>
          <t>GAFS Balance</t>
        </is>
      </c>
      <c r="B2">
        <f>IF(ABS((Outputs!$B$3+Outputs!$B$4)-Outputs!$B$5)&lt;0.01,"Balanced","Check")</f>
        <v/>
      </c>
      <c r="C2" t="inlineStr">
        <is>
          <t>IF(ABS((SelectedCOGS+SelectedEI)-GAFS)&lt;0.01,"Balanced","Check")</t>
        </is>
      </c>
    </row>
    <row r="3">
      <c r="A3" t="inlineStr">
        <is>
          <t>SelectedKey Found</t>
        </is>
      </c>
      <c r="B3">
        <f>IFNA(XLOOKUP(Inputs!$B$6,MethodSummary!$A$2:$A$10,MethodSummary!$D$2:$D$10),"Missing Key")</f>
        <v/>
      </c>
      <c r="C3" t="inlineStr">
        <is>
          <t>IFNA(XLOOKUP(SelectedKey, MethodSummary[Key], MethodSummary[COGS]),"Missing Key")</t>
        </is>
      </c>
    </row>
    <row r="4">
      <c r="A4" t="inlineStr">
        <is>
          <t>Units Sold Valid</t>
        </is>
      </c>
      <c r="B4">
        <f>IF(Outputs!$B$2&gt;0,"OK","Check Drivers")</f>
        <v/>
      </c>
      <c r="C4" t="inlineStr">
        <is>
          <t>IF(SelectedUnitsSold&gt;0,"OK","Check Drivers")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</cols>
  <sheetData>
    <row r="1">
      <c r="A1" s="2" t="inlineStr">
        <is>
          <t>Tile</t>
        </is>
      </c>
      <c r="B1" s="2" t="inlineStr">
        <is>
          <t>Displayed Value</t>
        </is>
      </c>
      <c r="C1" s="2" t="inlineStr">
        <is>
          <t>Source</t>
        </is>
      </c>
    </row>
    <row r="2">
      <c r="A2" t="inlineStr">
        <is>
          <t>Scenario</t>
        </is>
      </c>
      <c r="B2">
        <f>Inputs!$B$4</f>
        <v/>
      </c>
      <c r="C2" t="inlineStr">
        <is>
          <t>Inputs!B4</t>
        </is>
      </c>
    </row>
    <row r="3">
      <c r="A3" t="inlineStr">
        <is>
          <t>Method</t>
        </is>
      </c>
      <c r="B3">
        <f>Inputs!$B$5</f>
        <v/>
      </c>
      <c r="C3" t="inlineStr">
        <is>
          <t>Inputs!B5</t>
        </is>
      </c>
    </row>
    <row r="4">
      <c r="A4" t="inlineStr">
        <is>
          <t>COGS</t>
        </is>
      </c>
      <c r="B4">
        <f>Outputs!$B$3</f>
        <v/>
      </c>
      <c r="C4" t="inlineStr">
        <is>
          <t>Outputs!B3</t>
        </is>
      </c>
    </row>
    <row r="5">
      <c r="A5" t="inlineStr">
        <is>
          <t>Ending Inventory</t>
        </is>
      </c>
      <c r="B5">
        <f>Outputs!$B$4</f>
        <v/>
      </c>
      <c r="C5" t="inlineStr">
        <is>
          <t>Outputs!B4</t>
        </is>
      </c>
    </row>
    <row r="6">
      <c r="A6" t="inlineStr">
        <is>
          <t>Turnover</t>
        </is>
      </c>
      <c r="B6">
        <f>KPI!$B$5</f>
        <v/>
      </c>
      <c r="C6" t="inlineStr">
        <is>
          <t>KPI!B5</t>
        </is>
      </c>
    </row>
    <row r="7">
      <c r="A7" t="inlineStr">
        <is>
          <t>Days on Hand</t>
        </is>
      </c>
      <c r="B7">
        <f>KPI!$B$6</f>
        <v/>
      </c>
      <c r="C7" t="inlineStr">
        <is>
          <t>KPI!B6</t>
        </is>
      </c>
    </row>
    <row r="8">
      <c r="A8" t="inlineStr">
        <is>
          <t>Gross Margin %</t>
        </is>
      </c>
      <c r="B8">
        <f>KPI!$B$3</f>
        <v/>
      </c>
      <c r="C8" t="inlineStr">
        <is>
          <t>KPI!B3</t>
        </is>
      </c>
    </row>
    <row r="9">
      <c r="A9" t="inlineStr">
        <is>
          <t>Check Status</t>
        </is>
      </c>
      <c r="B9">
        <f>Checks!$B$2</f>
        <v/>
      </c>
      <c r="C9" t="inlineStr">
        <is>
          <t>Checks!B2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2026-04-02T02:46:04Z</dcterms:created>
  <dcterms:modified xmlns:dcterms="http://purl.org/dc/terms/" xmlns:xsi="http://www.w3.org/2001/XMLSchema-instance" xsi:type="dcterms:W3CDTF">2026-04-02T02:46:04Z</dcterms:modified>
</cp:coreProperties>
</file>