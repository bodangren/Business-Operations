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FIFO" sheetId="2" state="visible" r:id="rId2"/>
    <sheet xmlns:r="http://schemas.openxmlformats.org/officeDocument/2006/relationships" name="LIFO" sheetId="3" state="visible" r:id="rId3"/>
    <sheet xmlns:r="http://schemas.openxmlformats.org/officeDocument/2006/relationships" name="SpecificID" sheetId="4" state="visible" r:id="rId4"/>
    <sheet xmlns:r="http://schemas.openxmlformats.org/officeDocument/2006/relationships" name="WeightedAverage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Inputs and Shared Totals</t>
        </is>
      </c>
    </row>
    <row r="3">
      <c r="A3" s="2" t="inlineStr">
        <is>
          <t>Purchases</t>
        </is>
      </c>
    </row>
    <row r="4">
      <c r="A4" s="3" t="inlineStr">
        <is>
          <t>LotID</t>
        </is>
      </c>
      <c r="B4" s="3" t="inlineStr">
        <is>
          <t>Date</t>
        </is>
      </c>
      <c r="C4" s="3" t="inlineStr">
        <is>
          <t>SKU</t>
        </is>
      </c>
      <c r="D4" s="3" t="inlineStr">
        <is>
          <t>Qty</t>
        </is>
      </c>
      <c r="E4" s="3" t="inlineStr">
        <is>
          <t>UnitCost</t>
        </is>
      </c>
      <c r="F4" s="3" t="inlineStr">
        <is>
          <t>LotTotal</t>
        </is>
      </c>
    </row>
    <row r="5">
      <c r="A5" t="inlineStr">
        <is>
          <t>L1</t>
        </is>
      </c>
      <c r="B5" t="inlineStr">
        <is>
          <t>2026-03-01</t>
        </is>
      </c>
      <c r="C5" t="inlineStr">
        <is>
          <t>LK-001</t>
        </is>
      </c>
      <c r="D5" t="n">
        <v>10</v>
      </c>
      <c r="E5" t="n">
        <v>18</v>
      </c>
      <c r="F5">
        <f>D5*E5</f>
        <v/>
      </c>
    </row>
    <row r="6">
      <c r="A6" t="inlineStr">
        <is>
          <t>L2</t>
        </is>
      </c>
      <c r="B6" t="inlineStr">
        <is>
          <t>2026-03-08</t>
        </is>
      </c>
      <c r="C6" t="inlineStr">
        <is>
          <t>LK-001</t>
        </is>
      </c>
      <c r="D6" t="n">
        <v>20</v>
      </c>
      <c r="E6" t="n">
        <v>20</v>
      </c>
      <c r="F6">
        <f>D6*E6</f>
        <v/>
      </c>
    </row>
    <row r="7">
      <c r="A7" t="inlineStr">
        <is>
          <t>L3</t>
        </is>
      </c>
      <c r="B7" t="inlineStr">
        <is>
          <t>2026-03-15</t>
        </is>
      </c>
      <c r="C7" t="inlineStr">
        <is>
          <t>LK-001</t>
        </is>
      </c>
      <c r="D7" t="n">
        <v>10</v>
      </c>
      <c r="E7" t="n">
        <v>22</v>
      </c>
      <c r="F7">
        <f>D7*E7</f>
        <v/>
      </c>
    </row>
    <row r="10">
      <c r="A10" s="2" t="inlineStr">
        <is>
          <t>Sales</t>
        </is>
      </c>
    </row>
    <row r="11">
      <c r="A11" s="3" t="inlineStr">
        <is>
          <t>Date</t>
        </is>
      </c>
      <c r="B11" s="3" t="inlineStr">
        <is>
          <t>SKU</t>
        </is>
      </c>
      <c r="C11" s="3" t="inlineStr">
        <is>
          <t>Qty</t>
        </is>
      </c>
      <c r="D11" s="3" t="inlineStr">
        <is>
          <t>LotID</t>
        </is>
      </c>
    </row>
    <row r="12">
      <c r="A12" t="inlineStr">
        <is>
          <t>2026-03-20</t>
        </is>
      </c>
      <c r="B12" t="inlineStr">
        <is>
          <t>LK-001</t>
        </is>
      </c>
      <c r="C12" t="n">
        <v>5</v>
      </c>
      <c r="D12" t="inlineStr">
        <is>
          <t>L1</t>
        </is>
      </c>
    </row>
    <row r="13">
      <c r="A13" t="inlineStr">
        <is>
          <t>2026-03-22</t>
        </is>
      </c>
      <c r="B13" t="inlineStr">
        <is>
          <t>LK-001</t>
        </is>
      </c>
      <c r="C13" t="n">
        <v>10</v>
      </c>
      <c r="D13" t="inlineStr">
        <is>
          <t>L3</t>
        </is>
      </c>
    </row>
    <row r="15">
      <c r="A15" s="2" t="inlineStr">
        <is>
          <t>UnitsSold</t>
        </is>
      </c>
      <c r="B15">
        <f>SUM(C12:C13)</f>
        <v/>
      </c>
    </row>
    <row r="16">
      <c r="A16" s="2" t="inlineStr">
        <is>
          <t>TotalUnits</t>
        </is>
      </c>
      <c r="B16">
        <f>SUM(D5:D7)</f>
        <v/>
      </c>
    </row>
    <row r="17">
      <c r="A17" s="2" t="inlineStr">
        <is>
          <t>GAFS</t>
        </is>
      </c>
      <c r="B17">
        <f>SUM(F5:F7)</f>
        <v/>
      </c>
    </row>
    <row r="18">
      <c r="A18" s="2" t="inlineStr">
        <is>
          <t>SelectedMethod</t>
        </is>
      </c>
      <c r="B18" t="inlineStr">
        <is>
          <t>FIFO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LotID</t>
        </is>
      </c>
      <c r="B1" s="3" t="inlineStr">
        <is>
          <t>Qty</t>
        </is>
      </c>
      <c r="C1" s="3" t="inlineStr">
        <is>
          <t>UnitCost</t>
        </is>
      </c>
      <c r="D1" s="3" t="inlineStr">
        <is>
          <t>FIFO CumQty</t>
        </is>
      </c>
      <c r="E1" s="3" t="inlineStr">
        <is>
          <t>FIFO Used</t>
        </is>
      </c>
      <c r="F1" s="3" t="inlineStr">
        <is>
          <t>FIFO Cost</t>
        </is>
      </c>
    </row>
    <row r="2">
      <c r="A2" t="inlineStr">
        <is>
          <t>L1</t>
        </is>
      </c>
      <c r="B2" t="n">
        <v>10</v>
      </c>
      <c r="C2" t="n">
        <v>18</v>
      </c>
      <c r="D2">
        <f>SUM($B$2:B2)</f>
        <v/>
      </c>
      <c r="E2">
        <f>MAX(0,MIN(B2,Inputs!$B$15-(D2-B2)))</f>
        <v/>
      </c>
      <c r="F2">
        <f>E2*C2</f>
        <v/>
      </c>
    </row>
    <row r="3">
      <c r="A3" t="inlineStr">
        <is>
          <t>L2</t>
        </is>
      </c>
      <c r="B3" t="n">
        <v>20</v>
      </c>
      <c r="C3" t="n">
        <v>20</v>
      </c>
      <c r="D3">
        <f>SUM($B$2:B3)</f>
        <v/>
      </c>
      <c r="E3">
        <f>MAX(0,MIN(B3,Inputs!$B$15-(D3-B3)))</f>
        <v/>
      </c>
      <c r="F3">
        <f>E3*C3</f>
        <v/>
      </c>
    </row>
    <row r="4">
      <c r="A4" t="inlineStr">
        <is>
          <t>L3</t>
        </is>
      </c>
      <c r="B4" t="n">
        <v>10</v>
      </c>
      <c r="C4" t="n">
        <v>22</v>
      </c>
      <c r="D4">
        <f>SUM($B$2:B4)</f>
        <v/>
      </c>
      <c r="E4">
        <f>MAX(0,MIN(B4,Inputs!$B$15-(D4-B4)))</f>
        <v/>
      </c>
      <c r="F4">
        <f>E4*C4</f>
        <v/>
      </c>
    </row>
    <row r="6">
      <c r="A6" s="2" t="inlineStr">
        <is>
          <t>FIFO COGS</t>
        </is>
      </c>
      <c r="B6">
        <f>SUM(F2:F4)</f>
        <v/>
      </c>
      <c r="D6" s="2" t="inlineStr">
        <is>
          <t>FIFO EI</t>
        </is>
      </c>
      <c r="E6">
        <f>Inputs!$B$17-B6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LotID (Newest→Oldest)</t>
        </is>
      </c>
      <c r="B1" s="3" t="inlineStr">
        <is>
          <t>Qty</t>
        </is>
      </c>
      <c r="C1" s="3" t="inlineStr">
        <is>
          <t>UnitCost</t>
        </is>
      </c>
      <c r="D1" s="3" t="inlineStr">
        <is>
          <t>LIFO CumQty</t>
        </is>
      </c>
      <c r="E1" s="3" t="inlineStr">
        <is>
          <t>LIFO Used</t>
        </is>
      </c>
      <c r="F1" s="3" t="inlineStr">
        <is>
          <t>LIFO Cost</t>
        </is>
      </c>
    </row>
    <row r="2">
      <c r="A2" t="inlineStr">
        <is>
          <t>L3</t>
        </is>
      </c>
      <c r="B2" t="n">
        <v>10</v>
      </c>
      <c r="C2" t="n">
        <v>22</v>
      </c>
      <c r="D2">
        <f>SUM($B$2:B2)</f>
        <v/>
      </c>
      <c r="E2">
        <f>MAX(0,MIN(B2,Inputs!$B$15-(D2-B2)))</f>
        <v/>
      </c>
      <c r="F2">
        <f>E2*C2</f>
        <v/>
      </c>
    </row>
    <row r="3">
      <c r="A3" t="inlineStr">
        <is>
          <t>L2</t>
        </is>
      </c>
      <c r="B3" t="n">
        <v>20</v>
      </c>
      <c r="C3" t="n">
        <v>20</v>
      </c>
      <c r="D3">
        <f>SUM($B$2:B3)</f>
        <v/>
      </c>
      <c r="E3">
        <f>MAX(0,MIN(B3,Inputs!$B$15-(D3-B3)))</f>
        <v/>
      </c>
      <c r="F3">
        <f>E3*C3</f>
        <v/>
      </c>
    </row>
    <row r="4">
      <c r="A4" t="inlineStr">
        <is>
          <t>L1</t>
        </is>
      </c>
      <c r="B4" t="n">
        <v>10</v>
      </c>
      <c r="C4" t="n">
        <v>18</v>
      </c>
      <c r="D4">
        <f>SUM($B$2:B4)</f>
        <v/>
      </c>
      <c r="E4">
        <f>MAX(0,MIN(B4,Inputs!$B$15-(D4-B4)))</f>
        <v/>
      </c>
      <c r="F4">
        <f>E4*C4</f>
        <v/>
      </c>
    </row>
    <row r="6">
      <c r="A6" s="2" t="inlineStr">
        <is>
          <t>LIFO COGS</t>
        </is>
      </c>
      <c r="B6">
        <f>SUM(F2:F4)</f>
        <v/>
      </c>
      <c r="D6" s="2" t="inlineStr">
        <is>
          <t>LIFO EI</t>
        </is>
      </c>
      <c r="E6">
        <f>Inputs!$B$17-B6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2" customWidth="1" min="5" max="5"/>
  </cols>
  <sheetData>
    <row r="1">
      <c r="A1" s="3" t="inlineStr">
        <is>
          <t>SaleDate</t>
        </is>
      </c>
      <c r="B1" s="3" t="inlineStr">
        <is>
          <t>LotID</t>
        </is>
      </c>
      <c r="C1" s="3" t="inlineStr">
        <is>
          <t>Qty</t>
        </is>
      </c>
      <c r="D1" s="3" t="inlineStr">
        <is>
          <t>Lookup UnitCost</t>
        </is>
      </c>
      <c r="E1" s="3" t="inlineStr">
        <is>
          <t>Line Cost</t>
        </is>
      </c>
    </row>
    <row r="2">
      <c r="A2" t="inlineStr">
        <is>
          <t>2026-03-20</t>
        </is>
      </c>
      <c r="B2" t="inlineStr">
        <is>
          <t>L1</t>
        </is>
      </c>
      <c r="C2" t="n">
        <v>5</v>
      </c>
      <c r="D2">
        <f>XLOOKUP(B2,Inputs!$A$5:$A$7,Inputs!$E$5:$E$7)</f>
        <v/>
      </c>
      <c r="E2">
        <f>C2*D2</f>
        <v/>
      </c>
    </row>
    <row r="3">
      <c r="A3" t="inlineStr">
        <is>
          <t>2026-03-22</t>
        </is>
      </c>
      <c r="B3" t="inlineStr">
        <is>
          <t>L3</t>
        </is>
      </c>
      <c r="C3" t="n">
        <v>10</v>
      </c>
      <c r="D3">
        <f>XLOOKUP(B3,Inputs!$A$5:$A$7,Inputs!$E$5:$E$7)</f>
        <v/>
      </c>
      <c r="E3">
        <f>C3*D3</f>
        <v/>
      </c>
    </row>
    <row r="5">
      <c r="A5" s="2" t="inlineStr">
        <is>
          <t>Specific ID COGS</t>
        </is>
      </c>
      <c r="B5">
        <f>SUM(E2:E3)</f>
        <v/>
      </c>
      <c r="C5" s="2" t="inlineStr">
        <is>
          <t>Specific ID EI</t>
        </is>
      </c>
      <c r="D5">
        <f>Inputs!$B$17-B5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Formula Pattern</t>
        </is>
      </c>
    </row>
    <row r="2">
      <c r="A2" t="inlineStr">
        <is>
          <t>WA Rate</t>
        </is>
      </c>
      <c r="B2">
        <f>Inputs!$B$17/Inputs!$B$16</f>
        <v/>
      </c>
      <c r="C2" t="inlineStr">
        <is>
          <t>GAFS/TotalUnits</t>
        </is>
      </c>
    </row>
    <row r="3">
      <c r="A3" t="inlineStr">
        <is>
          <t>WA COGS</t>
        </is>
      </c>
      <c r="B3">
        <f>Inputs!$B$15*B2</f>
        <v/>
      </c>
      <c r="C3" t="inlineStr">
        <is>
          <t>UnitsSold*WA Rate</t>
        </is>
      </c>
    </row>
    <row r="4">
      <c r="A4" t="inlineStr">
        <is>
          <t>WA EI</t>
        </is>
      </c>
      <c r="B4">
        <f>(Inputs!$B$16-Inputs!$B$15)*B2</f>
        <v/>
      </c>
      <c r="C4" t="inlineStr">
        <is>
          <t>(TotalUnits-UnitsSold)*WA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</cols>
  <sheetData>
    <row r="1">
      <c r="A1" s="3" t="inlineStr">
        <is>
          <t>Method</t>
        </is>
      </c>
      <c r="B1" s="3" t="inlineStr">
        <is>
          <t>COGS</t>
        </is>
      </c>
      <c r="C1" s="3" t="inlineStr">
        <is>
          <t>Ending Inventory</t>
        </is>
      </c>
      <c r="D1" s="3" t="inlineStr">
        <is>
          <t>Balance Check</t>
        </is>
      </c>
    </row>
    <row r="2">
      <c r="A2" t="inlineStr">
        <is>
          <t>FIFO</t>
        </is>
      </c>
      <c r="B2">
        <f>FIFO!B6</f>
        <v/>
      </c>
      <c r="C2">
        <f>FIFO!E6</f>
        <v/>
      </c>
      <c r="D2">
        <f>B2+C2</f>
        <v/>
      </c>
    </row>
    <row r="3">
      <c r="A3" t="inlineStr">
        <is>
          <t>LIFO</t>
        </is>
      </c>
      <c r="B3">
        <f>LIFO!B6</f>
        <v/>
      </c>
      <c r="C3">
        <f>LIFO!E6</f>
        <v/>
      </c>
      <c r="D3">
        <f>B3+C3</f>
        <v/>
      </c>
    </row>
    <row r="4">
      <c r="A4" t="inlineStr">
        <is>
          <t>Specific ID</t>
        </is>
      </c>
      <c r="B4">
        <f>SpecificID!B5</f>
        <v/>
      </c>
      <c r="C4">
        <f>SpecificID!D5</f>
        <v/>
      </c>
      <c r="D4">
        <f>B4+C4</f>
        <v/>
      </c>
    </row>
    <row r="5">
      <c r="A5" t="inlineStr">
        <is>
          <t>Weighted Average</t>
        </is>
      </c>
      <c r="B5">
        <f>WeightedAverage!B3</f>
        <v/>
      </c>
      <c r="C5">
        <f>WeightedAverage!B4</f>
        <v/>
      </c>
      <c r="D5">
        <f>B5+C5</f>
        <v/>
      </c>
    </row>
    <row r="7">
      <c r="A7" s="2" t="inlineStr">
        <is>
          <t>Display COGS</t>
        </is>
      </c>
      <c r="B7">
        <f>XLOOKUP(Inputs!$B$18,A2:A5,B2:B5)</f>
        <v/>
      </c>
    </row>
    <row r="8">
      <c r="A8" s="2" t="inlineStr">
        <is>
          <t>Display EI</t>
        </is>
      </c>
      <c r="B8">
        <f>XLOOKUP(Inputs!$B$18,A2:A5,C2:C5)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2026-04-02T01:13:32Z</dcterms:created>
  <dcterms:modified xmlns:dcterms="http://purl.org/dc/terms/" xmlns:xsi="http://www.w3.org/2001/XMLSchema-instance" xsi:type="dcterms:W3CDTF">2026-04-02T01:13:32Z</dcterms:modified>
</cp:coreProperties>
</file>