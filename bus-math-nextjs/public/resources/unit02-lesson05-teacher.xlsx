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lose Model" sheetId="2" state="visible" r:id="rId2"/>
    <sheet xmlns:r="http://schemas.openxmlformats.org/officeDocument/2006/relationships" name="Control Panel" sheetId="3" state="visible" r:id="rId3"/>
  </sheets>
  <definedNames>
    <definedName name="SuppliesUsed">'Inputs'!$B$5</definedName>
    <definedName name="InsuranceExpired">'Inputs'!$B$6</definedName>
    <definedName name="DepreciationExpense">'Inputs'!$B$7</definedName>
    <definedName name="WagesAccrued">'Inputs'!$B$8</definedName>
    <definedName name="RevenueEarned">'Inputs'!$B$9</definedName>
    <definedName name="SelectedPeriod">'Control Panel'!$B$3</definedName>
    <definedName name="_xlnm.Print_Area" localSheetId="0">'Inputs'!$A$1:$D$9</definedName>
    <definedName name="_xlnm.Print_Area" localSheetId="1">'Close Model'!$A$1:$G$35</definedName>
    <definedName name="_xlnm.Print_Area" localSheetId="2">'Control Panel'!$A$1:$B$9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;[Red]($#,##0.00);-"/>
  </numFmts>
  <fonts count="4">
    <font>
      <name val="Calibri"/>
      <family val="2"/>
      <color theme="1"/>
      <sz val="11"/>
      <scheme val="minor"/>
    </font>
    <font>
      <color rgb="000070C0"/>
    </font>
    <font>
      <b val="1"/>
      <color rgb="00FFFFFF"/>
    </font>
    <font>
      <b val="1"/>
      <color rgb="001F2937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left/>
      <right/>
      <top/>
      <bottom style="thin">
        <color rgb="00D1D5D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1" fillId="2" borderId="0" pivotButton="0" quotePrefix="0" xfId="0"/>
    <xf numFmtId="164" fontId="0" fillId="0" borderId="0" pivotButton="0" quotePrefix="0" xfId="0"/>
    <xf numFmtId="164" fontId="0" fillId="5" borderId="0" pivotButton="0" quotePrefix="0" xfId="0"/>
    <xf numFmtId="0" fontId="1" fillId="2" borderId="0" pivotButton="0" quotePrefix="0" xfId="0"/>
    <xf numFmtId="0" fontId="0" fillId="5" borderId="0" pivotButton="0" quotePrefix="0" xfId="0"/>
    <xf numFmtId="0" fontId="0" fillId="0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TechStart Month-End Adjustment Inputs</t>
        </is>
      </c>
      <c r="B1" s="8" t="n"/>
      <c r="C1" s="8" t="n"/>
      <c r="D1" s="8" t="n"/>
    </row>
    <row r="2">
      <c r="A2" t="inlineStr">
        <is>
          <t>Enter or select the period amounts. Yellow cells are inputs.</t>
        </is>
      </c>
    </row>
    <row r="4">
      <c r="A4" s="2" t="inlineStr">
        <is>
          <t>Input</t>
        </is>
      </c>
      <c r="B4" s="2" t="inlineStr">
        <is>
          <t>Amount</t>
        </is>
      </c>
      <c r="C4" s="2" t="inlineStr">
        <is>
          <t>Maximum</t>
        </is>
      </c>
      <c r="D4" s="2" t="inlineStr">
        <is>
          <t>Validation</t>
        </is>
      </c>
    </row>
    <row r="5">
      <c r="A5" t="inlineStr">
        <is>
          <t>Supplies used</t>
        </is>
      </c>
      <c r="B5" s="3" t="n">
        <v>1200</v>
      </c>
      <c r="C5" s="4" t="n">
        <v>5500</v>
      </c>
    </row>
    <row r="6">
      <c r="A6" t="inlineStr">
        <is>
          <t>Insurance expired</t>
        </is>
      </c>
      <c r="B6" s="3" t="n">
        <v>300</v>
      </c>
      <c r="C6" s="4" t="n">
        <v>1200</v>
      </c>
    </row>
    <row r="7">
      <c r="A7" t="inlineStr">
        <is>
          <t>Depreciation expense</t>
        </is>
      </c>
      <c r="B7" s="3" t="n">
        <v>400</v>
      </c>
      <c r="C7" s="4" t="n">
        <v>2000</v>
      </c>
    </row>
    <row r="8">
      <c r="A8" t="inlineStr">
        <is>
          <t>Wages accrued</t>
        </is>
      </c>
      <c r="B8" s="3" t="n">
        <v>1800</v>
      </c>
      <c r="C8" s="4" t="n">
        <v>4000</v>
      </c>
    </row>
    <row r="9">
      <c r="A9" t="inlineStr">
        <is>
          <t>Revenue earned</t>
        </is>
      </c>
      <c r="B9" s="3" t="n">
        <v>1200</v>
      </c>
      <c r="C9" s="4" t="n">
        <v>1200</v>
      </c>
    </row>
  </sheetData>
  <mergeCells count="1">
    <mergeCell ref="A1:D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TechStart Month-End Close Model</t>
        </is>
      </c>
      <c r="B1" s="8" t="n"/>
      <c r="C1" s="8" t="n"/>
      <c r="D1" s="8" t="n"/>
      <c r="E1" s="8" t="n"/>
      <c r="F1" s="8" t="n"/>
      <c r="G1" s="8" t="n"/>
    </row>
    <row r="3">
      <c r="A3" s="2" t="inlineStr">
        <is>
          <t>Adjustment Account</t>
        </is>
      </c>
      <c r="B3" s="2" t="inlineStr">
        <is>
          <t>Debit</t>
        </is>
      </c>
      <c r="C3" s="2" t="inlineStr">
        <is>
          <t>Credit</t>
        </is>
      </c>
    </row>
    <row r="4">
      <c r="A4" t="inlineStr">
        <is>
          <t>Supplies Expense</t>
        </is>
      </c>
      <c r="B4" s="5">
        <f>SuppliesUsed</f>
        <v/>
      </c>
      <c r="C4" s="5" t="n">
        <v>0</v>
      </c>
    </row>
    <row r="5">
      <c r="A5" t="inlineStr">
        <is>
          <t>Supplies</t>
        </is>
      </c>
      <c r="B5" s="5" t="n">
        <v>0</v>
      </c>
      <c r="C5" s="5">
        <f>SuppliesUsed</f>
        <v/>
      </c>
    </row>
    <row r="6">
      <c r="A6" t="inlineStr">
        <is>
          <t>Insurance Expense</t>
        </is>
      </c>
      <c r="B6" s="5">
        <f>InsuranceExpired</f>
        <v/>
      </c>
      <c r="C6" s="5" t="n">
        <v>0</v>
      </c>
    </row>
    <row r="7">
      <c r="A7" t="inlineStr">
        <is>
          <t>Prepaid Insurance</t>
        </is>
      </c>
      <c r="B7" s="5" t="n">
        <v>0</v>
      </c>
      <c r="C7" s="5">
        <f>InsuranceExpired</f>
        <v/>
      </c>
    </row>
    <row r="8">
      <c r="A8" t="inlineStr">
        <is>
          <t>Depreciation Expense</t>
        </is>
      </c>
      <c r="B8" s="5">
        <f>DepreciationExpense</f>
        <v/>
      </c>
      <c r="C8" s="5" t="n">
        <v>0</v>
      </c>
    </row>
    <row r="9">
      <c r="A9" t="inlineStr">
        <is>
          <t>Accumulated Depreciation</t>
        </is>
      </c>
      <c r="B9" s="5" t="n">
        <v>0</v>
      </c>
      <c r="C9" s="5">
        <f>DepreciationExpense</f>
        <v/>
      </c>
    </row>
    <row r="10">
      <c r="A10" t="inlineStr">
        <is>
          <t>Wages Expense</t>
        </is>
      </c>
      <c r="B10" s="5">
        <f>WagesAccrued</f>
        <v/>
      </c>
      <c r="C10" s="5" t="n">
        <v>0</v>
      </c>
    </row>
    <row r="11">
      <c r="A11" t="inlineStr">
        <is>
          <t>Wages Payable</t>
        </is>
      </c>
      <c r="B11" s="5" t="n">
        <v>0</v>
      </c>
      <c r="C11" s="5">
        <f>WagesAccrued</f>
        <v/>
      </c>
    </row>
    <row r="12">
      <c r="A12" t="inlineStr">
        <is>
          <t>Unearned Revenue</t>
        </is>
      </c>
      <c r="B12" s="5">
        <f>RevenueEarned</f>
        <v/>
      </c>
      <c r="C12" s="5" t="n">
        <v>0</v>
      </c>
    </row>
    <row r="13">
      <c r="A13" t="inlineStr">
        <is>
          <t>Service Revenue</t>
        </is>
      </c>
      <c r="B13" s="5" t="n">
        <v>0</v>
      </c>
      <c r="C13" s="5">
        <f>RevenueEarned</f>
        <v/>
      </c>
    </row>
    <row r="14">
      <c r="A14" t="inlineStr">
        <is>
          <t>Adjustment totals</t>
        </is>
      </c>
      <c r="B14" s="4">
        <f>SUM(B4:B13)</f>
        <v/>
      </c>
      <c r="C14" s="4">
        <f>SUM(C4:C13)</f>
        <v/>
      </c>
    </row>
    <row r="15">
      <c r="A15" t="inlineStr">
        <is>
          <t>Adjustment difference</t>
        </is>
      </c>
      <c r="B15" s="4">
        <f>B14-C14</f>
        <v/>
      </c>
    </row>
    <row r="18">
      <c r="A18" s="2" t="inlineStr">
        <is>
          <t>Account</t>
        </is>
      </c>
      <c r="B18" s="2" t="inlineStr">
        <is>
          <t>Unadjusted Debit</t>
        </is>
      </c>
      <c r="C18" s="2" t="inlineStr">
        <is>
          <t>Unadjusted Credit</t>
        </is>
      </c>
      <c r="D18" s="2" t="inlineStr">
        <is>
          <t>Adjustment Debit</t>
        </is>
      </c>
      <c r="E18" s="2" t="inlineStr">
        <is>
          <t>Adjustment Credit</t>
        </is>
      </c>
      <c r="F18" s="2" t="inlineStr">
        <is>
          <t>Adjusted Debit</t>
        </is>
      </c>
      <c r="G18" s="2" t="inlineStr">
        <is>
          <t>Adjusted Credit</t>
        </is>
      </c>
    </row>
    <row r="19">
      <c r="A19" t="inlineStr">
        <is>
          <t>Cash</t>
        </is>
      </c>
      <c r="B19" s="4" t="n">
        <v>9000</v>
      </c>
      <c r="C19" s="4" t="n">
        <v>0</v>
      </c>
      <c r="D19" s="5" t="n">
        <v>0</v>
      </c>
      <c r="E19" s="5" t="n">
        <v>0</v>
      </c>
      <c r="F19" s="5">
        <f>MAX((B19+D19)-(C19+E19),0)</f>
        <v/>
      </c>
      <c r="G19" s="5">
        <f>MAX((C19+E19)-(B19+D19),0)</f>
        <v/>
      </c>
    </row>
    <row r="20">
      <c r="A20" t="inlineStr">
        <is>
          <t>Accounts Receivable</t>
        </is>
      </c>
      <c r="B20" s="4" t="n">
        <v>4000</v>
      </c>
      <c r="C20" s="4" t="n">
        <v>0</v>
      </c>
      <c r="D20" s="5" t="n">
        <v>0</v>
      </c>
      <c r="E20" s="5" t="n">
        <v>0</v>
      </c>
      <c r="F20" s="5">
        <f>MAX((B20+D20)-(C20+E20),0)</f>
        <v/>
      </c>
      <c r="G20" s="5">
        <f>MAX((C20+E20)-(B20+D20),0)</f>
        <v/>
      </c>
    </row>
    <row r="21">
      <c r="A21" t="inlineStr">
        <is>
          <t>Supplies</t>
        </is>
      </c>
      <c r="B21" s="4" t="n">
        <v>5500</v>
      </c>
      <c r="C21" s="4" t="n">
        <v>0</v>
      </c>
      <c r="D21" s="5" t="n">
        <v>0</v>
      </c>
      <c r="E21" s="5">
        <f>SuppliesUsed</f>
        <v/>
      </c>
      <c r="F21" s="5">
        <f>MAX((B21+D21)-(C21+E21),0)</f>
        <v/>
      </c>
      <c r="G21" s="5">
        <f>MAX((C21+E21)-(B21+D21),0)</f>
        <v/>
      </c>
    </row>
    <row r="22">
      <c r="A22" t="inlineStr">
        <is>
          <t>Prepaid Insurance</t>
        </is>
      </c>
      <c r="B22" s="4" t="n">
        <v>1200</v>
      </c>
      <c r="C22" s="4" t="n">
        <v>0</v>
      </c>
      <c r="D22" s="5" t="n">
        <v>0</v>
      </c>
      <c r="E22" s="5">
        <f>InsuranceExpired</f>
        <v/>
      </c>
      <c r="F22" s="5">
        <f>MAX((B22+D22)-(C22+E22),0)</f>
        <v/>
      </c>
      <c r="G22" s="5">
        <f>MAX((C22+E22)-(B22+D22),0)</f>
        <v/>
      </c>
    </row>
    <row r="23">
      <c r="A23" t="inlineStr">
        <is>
          <t>Equipment</t>
        </is>
      </c>
      <c r="B23" s="4" t="n">
        <v>32000</v>
      </c>
      <c r="C23" s="4" t="n">
        <v>0</v>
      </c>
      <c r="D23" s="5" t="n">
        <v>0</v>
      </c>
      <c r="E23" s="5" t="n">
        <v>0</v>
      </c>
      <c r="F23" s="5">
        <f>MAX((B23+D23)-(C23+E23),0)</f>
        <v/>
      </c>
      <c r="G23" s="5">
        <f>MAX((C23+E23)-(B23+D23),0)</f>
        <v/>
      </c>
    </row>
    <row r="24">
      <c r="A24" t="inlineStr">
        <is>
          <t>Accumulated Depreciation</t>
        </is>
      </c>
      <c r="B24" s="4" t="n">
        <v>0</v>
      </c>
      <c r="C24" s="4" t="n">
        <v>0</v>
      </c>
      <c r="D24" s="5" t="n">
        <v>0</v>
      </c>
      <c r="E24" s="5">
        <f>DepreciationExpense</f>
        <v/>
      </c>
      <c r="F24" s="5">
        <f>MAX((B24+D24)-(C24+E24),0)</f>
        <v/>
      </c>
      <c r="G24" s="5">
        <f>MAX((C24+E24)-(B24+D24),0)</f>
        <v/>
      </c>
    </row>
    <row r="25">
      <c r="A25" t="inlineStr">
        <is>
          <t>Accounts Payable</t>
        </is>
      </c>
      <c r="B25" s="4" t="n">
        <v>0</v>
      </c>
      <c r="C25" s="4" t="n">
        <v>6000</v>
      </c>
      <c r="D25" s="5" t="n">
        <v>0</v>
      </c>
      <c r="E25" s="5" t="n">
        <v>0</v>
      </c>
      <c r="F25" s="5">
        <f>MAX((B25+D25)-(C25+E25),0)</f>
        <v/>
      </c>
      <c r="G25" s="5">
        <f>MAX((C25+E25)-(B25+D25),0)</f>
        <v/>
      </c>
    </row>
    <row r="26">
      <c r="A26" t="inlineStr">
        <is>
          <t>Wages Payable</t>
        </is>
      </c>
      <c r="B26" s="4" t="n">
        <v>0</v>
      </c>
      <c r="C26" s="4" t="n">
        <v>0</v>
      </c>
      <c r="D26" s="5" t="n">
        <v>0</v>
      </c>
      <c r="E26" s="5">
        <f>WagesAccrued</f>
        <v/>
      </c>
      <c r="F26" s="5">
        <f>MAX((B26+D26)-(C26+E26),0)</f>
        <v/>
      </c>
      <c r="G26" s="5">
        <f>MAX((C26+E26)-(B26+D26),0)</f>
        <v/>
      </c>
    </row>
    <row r="27">
      <c r="A27" t="inlineStr">
        <is>
          <t>Unearned Revenue</t>
        </is>
      </c>
      <c r="B27" s="4" t="n">
        <v>0</v>
      </c>
      <c r="C27" s="4" t="n">
        <v>1200</v>
      </c>
      <c r="D27" s="5">
        <f>RevenueEarned</f>
        <v/>
      </c>
      <c r="E27" s="5" t="n">
        <v>0</v>
      </c>
      <c r="F27" s="5">
        <f>MAX((B27+D27)-(C27+E27),0)</f>
        <v/>
      </c>
      <c r="G27" s="5">
        <f>MAX((C27+E27)-(B27+D27),0)</f>
        <v/>
      </c>
    </row>
    <row r="28">
      <c r="A28" t="inlineStr">
        <is>
          <t>Owner Capital</t>
        </is>
      </c>
      <c r="B28" s="4" t="n">
        <v>0</v>
      </c>
      <c r="C28" s="4" t="n">
        <v>30000</v>
      </c>
      <c r="D28" s="5" t="n">
        <v>0</v>
      </c>
      <c r="E28" s="5" t="n">
        <v>0</v>
      </c>
      <c r="F28" s="5">
        <f>MAX((B28+D28)-(C28+E28),0)</f>
        <v/>
      </c>
      <c r="G28" s="5">
        <f>MAX((C28+E28)-(B28+D28),0)</f>
        <v/>
      </c>
    </row>
    <row r="29">
      <c r="A29" t="inlineStr">
        <is>
          <t>Service Revenue</t>
        </is>
      </c>
      <c r="B29" s="4" t="n">
        <v>0</v>
      </c>
      <c r="C29" s="4" t="n">
        <v>14500</v>
      </c>
      <c r="D29" s="5" t="n">
        <v>0</v>
      </c>
      <c r="E29" s="5">
        <f>RevenueEarned</f>
        <v/>
      </c>
      <c r="F29" s="5">
        <f>MAX((B29+D29)-(C29+E29),0)</f>
        <v/>
      </c>
      <c r="G29" s="5">
        <f>MAX((C29+E29)-(B29+D29),0)</f>
        <v/>
      </c>
    </row>
    <row r="30">
      <c r="A30" t="inlineStr">
        <is>
          <t>Supplies Expense</t>
        </is>
      </c>
      <c r="B30" s="4" t="n">
        <v>0</v>
      </c>
      <c r="C30" s="4" t="n">
        <v>0</v>
      </c>
      <c r="D30" s="5">
        <f>SuppliesUsed</f>
        <v/>
      </c>
      <c r="E30" s="5" t="n">
        <v>0</v>
      </c>
      <c r="F30" s="5">
        <f>MAX((B30+D30)-(C30+E30),0)</f>
        <v/>
      </c>
      <c r="G30" s="5">
        <f>MAX((C30+E30)-(B30+D30),0)</f>
        <v/>
      </c>
    </row>
    <row r="31">
      <c r="A31" t="inlineStr">
        <is>
          <t>Insurance Expense</t>
        </is>
      </c>
      <c r="B31" s="4" t="n">
        <v>0</v>
      </c>
      <c r="C31" s="4" t="n">
        <v>0</v>
      </c>
      <c r="D31" s="5">
        <f>InsuranceExpired</f>
        <v/>
      </c>
      <c r="E31" s="5" t="n">
        <v>0</v>
      </c>
      <c r="F31" s="5">
        <f>MAX((B31+D31)-(C31+E31),0)</f>
        <v/>
      </c>
      <c r="G31" s="5">
        <f>MAX((C31+E31)-(B31+D31),0)</f>
        <v/>
      </c>
    </row>
    <row r="32">
      <c r="A32" t="inlineStr">
        <is>
          <t>Depreciation Expense</t>
        </is>
      </c>
      <c r="B32" s="4" t="n">
        <v>0</v>
      </c>
      <c r="C32" s="4" t="n">
        <v>0</v>
      </c>
      <c r="D32" s="5">
        <f>DepreciationExpense</f>
        <v/>
      </c>
      <c r="E32" s="5" t="n">
        <v>0</v>
      </c>
      <c r="F32" s="5">
        <f>MAX((B32+D32)-(C32+E32),0)</f>
        <v/>
      </c>
      <c r="G32" s="5">
        <f>MAX((C32+E32)-(B32+D32),0)</f>
        <v/>
      </c>
    </row>
    <row r="33">
      <c r="A33" t="inlineStr">
        <is>
          <t>Wages Expense</t>
        </is>
      </c>
      <c r="B33" s="4" t="n">
        <v>0</v>
      </c>
      <c r="C33" s="4" t="n">
        <v>0</v>
      </c>
      <c r="D33" s="5">
        <f>WagesAccrued</f>
        <v/>
      </c>
      <c r="E33" s="5" t="n">
        <v>0</v>
      </c>
      <c r="F33" s="5">
        <f>MAX((B33+D33)-(C33+E33),0)</f>
        <v/>
      </c>
      <c r="G33" s="5">
        <f>MAX((C33+E33)-(B33+D33),0)</f>
        <v/>
      </c>
    </row>
    <row r="34">
      <c r="A34" t="inlineStr">
        <is>
          <t>Adjusted trial balance totals</t>
        </is>
      </c>
      <c r="F34" s="4">
        <f>SUM(F19:F33)</f>
        <v/>
      </c>
      <c r="G34" s="4">
        <f>SUM(G19:G33)</f>
        <v/>
      </c>
    </row>
    <row r="35">
      <c r="A35" t="inlineStr">
        <is>
          <t>Adjusted trial balance difference</t>
        </is>
      </c>
      <c r="F35" s="4">
        <f>F34-G34</f>
        <v/>
      </c>
    </row>
  </sheetData>
  <mergeCells count="1">
    <mergeCell ref="A1:G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Month-End Close Control Panel</t>
        </is>
      </c>
      <c r="B1" s="8" t="n"/>
    </row>
    <row r="3">
      <c r="A3" t="inlineStr">
        <is>
          <t>Selected period</t>
        </is>
      </c>
      <c r="B3" s="6" t="inlineStr">
        <is>
          <t>March</t>
        </is>
      </c>
    </row>
    <row r="4">
      <c r="A4" t="inlineStr">
        <is>
          <t>Total adjustment debits</t>
        </is>
      </c>
      <c r="B4" s="5">
        <f>'Close Model'!B14</f>
        <v/>
      </c>
    </row>
    <row r="5">
      <c r="A5" t="inlineStr">
        <is>
          <t>Total adjustment credits</t>
        </is>
      </c>
      <c r="B5" s="5">
        <f>'Close Model'!C14</f>
        <v/>
      </c>
    </row>
    <row r="6">
      <c r="A6" t="inlineStr">
        <is>
          <t>Adjustment difference</t>
        </is>
      </c>
      <c r="B6" s="5">
        <f>'Close Model'!B15</f>
        <v/>
      </c>
    </row>
    <row r="7">
      <c r="A7" t="inlineStr">
        <is>
          <t>Adjusted trial balance difference</t>
        </is>
      </c>
      <c r="B7" s="5">
        <f>'Close Model'!F35</f>
        <v/>
      </c>
    </row>
    <row r="8">
      <c r="A8" t="inlineStr">
        <is>
          <t>Failed validation checks</t>
        </is>
      </c>
      <c r="B8" s="7" t="n">
        <v>0</v>
      </c>
    </row>
    <row r="9">
      <c r="A9" t="inlineStr">
        <is>
          <t>CloseStatus</t>
        </is>
      </c>
      <c r="B9" s="7">
        <f>IF(OR(COUNT('Close Model'!B4:C13)&lt;&gt;20,COUNT('Close Model'!F19:G33)&lt;&gt;30),"Not finished",IF(AND(B6=0,B7=0,B8=0),"Complete","Review flagged items"))</f>
        <v/>
      </c>
    </row>
  </sheetData>
  <mergeCells count="1">
    <mergeCell ref="A1:B1"/>
  </mergeCells>
  <conditionalFormatting sqref="B9">
    <cfRule type="cellIs" priority="1" operator="equal" dxfId="0">
      <formula>"Complete"</formula>
    </cfRule>
    <cfRule type="cellIs" priority="2" operator="notEqual" dxfId="1">
      <formula>"Complete"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2026-09-06T01:17:16Z</dcterms:created>
  <dcterms:modified xmlns:dcterms="http://purl.org/dc/terms/" xmlns:xsi="http://www.w3.org/2001/XMLSchema-instance" xsi:type="dcterms:W3CDTF">2026-09-30T10:54:53Z</dcterms:modified>
</cp:coreProperties>
</file>