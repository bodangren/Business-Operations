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'Transactions'!$A$1:$H$23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3" headerRowCount="1">
  <autoFilter ref="A1:H23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  <c r="H3" s="3">
        <f>SUMIFS(LedgerTable[Debit],LedgerTable[Transaction ID],[@[Transaction ID]])-SUMIFS(LedgerTable[Credit],LedgerTable[Transaction ID],[@[Transaction ID]])</f>
        <v/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  <c r="H4" s="3">
        <f>SUMIFS(LedgerTable[Debit],LedgerTable[Transaction ID],[@[Transaction ID]])-SUMIFS(LedgerTable[Credit],LedgerTable[Transaction ID],[@[Transaction ID]])</f>
        <v/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  <c r="H5" s="3">
        <f>SUMIFS(LedgerTable[Debit],LedgerTable[Transaction ID],[@[Transaction ID]])-SUMIFS(LedgerTable[Credit],LedgerTable[Transaction ID],[@[Transaction ID]])</f>
        <v/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  <c r="H6" s="3">
        <f>SUMIFS(LedgerTable[Debit],LedgerTable[Transaction ID],[@[Transaction ID]])-SUMIFS(LedgerTable[Credit],LedgerTable[Transaction ID],[@[Transaction ID]])</f>
        <v/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  <c r="H7" s="3">
        <f>SUMIFS(LedgerTable[Debit],LedgerTable[Transaction ID],[@[Transaction ID]])-SUMIFS(LedgerTable[Credit],LedgerTable[Transaction ID],[@[Transaction ID]])</f>
        <v/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  <c r="H8" s="3">
        <f>SUMIFS(LedgerTable[Debit],LedgerTable[Transaction ID],[@[Transaction ID]])-SUMIFS(LedgerTable[Credit],LedgerTable[Transaction ID],[@[Transaction ID]])</f>
        <v/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  <c r="H9" s="3">
        <f>SUMIFS(LedgerTable[Debit],LedgerTable[Transaction ID],[@[Transaction ID]])-SUMIFS(LedgerTable[Credit],LedgerTable[Transaction ID],[@[Transaction ID]])</f>
        <v/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  <c r="H10" s="3">
        <f>SUMIFS(LedgerTable[Debit],LedgerTable[Transaction ID],[@[Transaction ID]])-SUMIFS(LedgerTable[Credit],LedgerTable[Transaction ID],[@[Transaction ID]])</f>
        <v/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  <c r="H11" s="3">
        <f>SUMIFS(LedgerTable[Debit],LedgerTable[Transaction ID],[@[Transaction ID]])-SUMIFS(LedgerTable[Credit],LedgerTable[Transaction ID],[@[Transaction ID]])</f>
        <v/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  <c r="H12" s="3">
        <f>SUMIFS(LedgerTable[Debit],LedgerTable[Transaction ID],[@[Transaction ID]])-SUMIFS(LedgerTable[Credit],LedgerTable[Transaction ID],[@[Transaction ID]])</f>
        <v/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  <c r="H13" s="3">
        <f>SUMIFS(LedgerTable[Debit],LedgerTable[Transaction ID],[@[Transaction ID]])-SUMIFS(LedgerTable[Credit],LedgerTable[Transaction ID],[@[Transaction ID]])</f>
        <v/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  <c r="H14" s="3">
        <f>SUMIFS(LedgerTable[Debit],LedgerTable[Transaction ID],[@[Transaction ID]])-SUMIFS(LedgerTable[Credit],LedgerTable[Transaction ID],[@[Transaction ID]])</f>
        <v/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  <c r="H15" s="3">
        <f>SUMIFS(LedgerTable[Debit],LedgerTable[Transaction ID],[@[Transaction ID]])-SUMIFS(LedgerTable[Credit],LedgerTable[Transaction ID],[@[Transaction ID]])</f>
        <v/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  <c r="H16" s="3">
        <f>SUMIFS(LedgerTable[Debit],LedgerTable[Transaction ID],[@[Transaction ID]])-SUMIFS(LedgerTable[Credit],LedgerTable[Transaction ID],[@[Transaction ID]])</f>
        <v/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  <c r="H17" s="3">
        <f>SUMIFS(LedgerTable[Debit],LedgerTable[Transaction ID],[@[Transaction ID]])-SUMIFS(LedgerTable[Credit],LedgerTable[Transaction ID],[@[Transaction ID]])</f>
        <v/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  <c r="H18" s="3">
        <f>SUMIFS(LedgerTable[Debit],LedgerTable[Transaction ID],[@[Transaction ID]])-SUMIFS(LedgerTable[Credit],LedgerTable[Transaction ID],[@[Transaction ID]])</f>
        <v/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  <c r="H19" s="3">
        <f>SUMIFS(LedgerTable[Debit],LedgerTable[Transaction ID],[@[Transaction ID]])-SUMIFS(LedgerTable[Credit],LedgerTable[Transaction ID],[@[Transaction ID]])</f>
        <v/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  <c r="H20" s="3">
        <f>SUMIFS(LedgerTable[Debit],LedgerTable[Transaction ID],[@[Transaction ID]])-SUMIFS(LedgerTable[Credit],LedgerTable[Transaction ID],[@[Transaction ID]])</f>
        <v/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  <c r="H21" s="3">
        <f>SUMIFS(LedgerTable[Debit],LedgerTable[Transaction ID],[@[Transaction ID]])-SUMIFS(LedgerTable[Credit],LedgerTable[Transaction ID],[@[Transaction ID]])</f>
        <v/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  <c r="H22" s="3">
        <f>SUMIFS(LedgerTable[Debit],LedgerTable[Transaction ID],[@[Transaction ID]])-SUMIFS(LedgerTable[Credit],LedgerTable[Transaction ID],[@[Transaction ID]])</f>
        <v/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  <c r="H23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9" t="inlineStr">
        <is>
          <t>TechStart Solutions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>
        <f>'Trial Balance'!D24</f>
        <v/>
      </c>
    </row>
    <row r="4">
      <c r="A4" s="5" t="inlineStr">
        <is>
          <t>Total Credit Balances</t>
        </is>
      </c>
      <c r="B4" s="4">
        <f>'Trial Balance'!E24</f>
        <v/>
      </c>
    </row>
    <row r="5">
      <c r="A5" s="5" t="inlineStr">
        <is>
          <t>Difference</t>
        </is>
      </c>
      <c r="B5" s="4">
        <f>'Trial Balance'!B26</f>
        <v/>
      </c>
    </row>
    <row r="6">
      <c r="A6" s="5" t="inlineStr">
        <is>
          <t>Ledger Status</t>
        </is>
      </c>
      <c r="B6" s="7">
        <f>'Trial Balance'!B27</f>
        <v/>
      </c>
    </row>
    <row r="7">
      <c r="A7" s="5" t="inlineStr">
        <is>
          <t>Controls Needing Review</t>
        </is>
      </c>
      <c r="B7" s="7">
        <f>COUNTIF('Error Checks'!C2:C5,"Review")</f>
        <v/>
      </c>
    </row>
    <row r="8">
      <c r="A8" s="5" t="inlineStr">
        <is>
          <t>Revenue</t>
        </is>
      </c>
      <c r="B8" s="4">
        <f>SUMIFS(LedgerTable[Credit],LedgerTable[Type],"Revenue")-SUMIFS(LedgerTable[Debit],LedgerTable[Type],"Revenue")</f>
        <v/>
      </c>
    </row>
    <row r="9">
      <c r="A9" s="5" t="inlineStr">
        <is>
          <t>Expenses</t>
        </is>
      </c>
      <c r="B9" s="4">
        <f>SUMIFS(LedgerTable[Debit],LedgerTable[Type],"Expense")-SUMIFS(LedgerTable[Credit],LedgerTable[Type],"Expense")</f>
        <v/>
      </c>
    </row>
    <row r="10">
      <c r="A10" s="5" t="inlineStr">
        <is>
          <t>Net Income</t>
        </is>
      </c>
      <c r="B10" s="4">
        <f>B8-B9</f>
        <v/>
      </c>
    </row>
    <row r="11">
      <c r="A11" s="5" t="inlineStr">
        <is>
          <t>Cash Balance</t>
        </is>
      </c>
      <c r="B11" s="4">
        <f>SUMIF(LedgerTable[Account],"Cash",LedgerTable[Debit])-SUMIF(LedgerTable[Account],"Cash",LedgerTable[Credit])</f>
        <v/>
      </c>
    </row>
    <row r="12" ht="48" customHeight="1">
      <c r="A12" s="5" t="inlineStr">
        <is>
          <t>Recommendation</t>
        </is>
      </c>
      <c r="B12" s="10" t="inlineStr">
        <is>
          <t>TechStart can present the ledger because the controls pass and the business earned positive net income.</t>
        </is>
      </c>
    </row>
    <row r="13" ht="48" customHeight="1">
      <c r="A13" s="5" t="inlineStr">
        <is>
          <t>Risk or Limitation</t>
        </is>
      </c>
      <c r="B13" s="10" t="inlineStr">
        <is>
          <t>The ledger covers one month. It does not prove that future revenue or cash flow will remain stable.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