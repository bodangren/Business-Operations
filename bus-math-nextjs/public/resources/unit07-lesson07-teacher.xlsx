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BeginningInventory" sheetId="3" state="visible" r:id="rId3"/>
    <sheet xmlns:r="http://schemas.openxmlformats.org/officeDocument/2006/relationships" name="Purchases" sheetId="4" state="visible" r:id="rId4"/>
    <sheet xmlns:r="http://schemas.openxmlformats.org/officeDocument/2006/relationships" name="Sales" sheetId="5" state="visible" r:id="rId5"/>
    <sheet xmlns:r="http://schemas.openxmlformats.org/officeDocument/2006/relationships" name="Valuation" sheetId="6" state="visible" r:id="rId6"/>
    <sheet xmlns:r="http://schemas.openxmlformats.org/officeDocument/2006/relationships" name="MethodCompare" sheetId="7" state="visible" r:id="rId7"/>
    <sheet xmlns:r="http://schemas.openxmlformats.org/officeDocument/2006/relationships" name="Checks" sheetId="8" state="visible" r:id="rId8"/>
    <sheet xmlns:r="http://schemas.openxmlformats.org/officeDocument/2006/relationships" name="Dashboard" sheetId="9" state="visible" r:id="rId9"/>
    <sheet xmlns:r="http://schemas.openxmlformats.org/officeDocument/2006/relationships" name="Recommendation" sheetId="10" state="visible" r:id="rId10"/>
  </sheets>
  <definedNames/>
  <calcPr calcId="124519" calcMode="auto" fullCalcOnLoad="1" forceFullCalc="1"/>
</workbook>
</file>

<file path=xl/styles.xml><?xml version="1.0" encoding="utf-8"?>
<styleSheet xmlns="http://schemas.openxmlformats.org/spreadsheetml/2006/main">
  <numFmts count="3">
    <numFmt numFmtId="164" formatCode="$#,##0.00"/>
    <numFmt numFmtId="165" formatCode="yyyy-mm-dd"/>
    <numFmt numFmtId="166" formatCode="0.0%"/>
  </numFmts>
  <fonts count="4">
    <font>
      <name val="Calibri"/>
      <family val="2"/>
      <color theme="1"/>
      <sz val="11"/>
      <scheme val="minor"/>
    </font>
    <font>
      <b val="1"/>
      <color rgb="00FFFFFF"/>
      <sz val="14"/>
    </font>
    <font>
      <b val="1"/>
      <color rgb="001E3A8A"/>
    </font>
    <font>
      <b val="1"/>
    </font>
  </fonts>
  <fills count="7">
    <fill>
      <patternFill/>
    </fill>
    <fill>
      <patternFill patternType="gray125"/>
    </fill>
    <fill>
      <patternFill patternType="solid">
        <fgColor rgb="000F172A"/>
      </patternFill>
    </fill>
    <fill>
      <patternFill patternType="solid">
        <fgColor rgb="00DBEAFE"/>
      </patternFill>
    </fill>
    <fill>
      <patternFill patternType="solid">
        <fgColor rgb="00E2E8F0"/>
      </patternFill>
    </fill>
    <fill>
      <patternFill patternType="solid">
        <fgColor rgb="00EEF2FF"/>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3" fillId="0" borderId="1" applyAlignment="1" pivotButton="0" quotePrefix="0" xfId="0">
      <alignment vertical="top" wrapText="1"/>
    </xf>
    <xf numFmtId="0" fontId="0" fillId="0" borderId="1" applyAlignment="1" pivotButton="0" quotePrefix="0" xfId="0">
      <alignment vertical="top" wrapText="1"/>
    </xf>
    <xf numFmtId="0" fontId="2" fillId="3" borderId="0" applyAlignment="1" pivotButton="0" quotePrefix="0" xfId="0">
      <alignment vertical="center"/>
    </xf>
    <xf numFmtId="0" fontId="3" fillId="4" borderId="1" applyAlignment="1" pivotButton="0" quotePrefix="0" xfId="0">
      <alignment vertical="top" wrapText="1"/>
    </xf>
    <xf numFmtId="0" fontId="0" fillId="3" borderId="1" applyAlignment="1" pivotButton="0" quotePrefix="0" xfId="0">
      <alignment vertical="top" wrapText="1"/>
    </xf>
    <xf numFmtId="1" fontId="0"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3" fillId="0" borderId="1" pivotButton="0" quotePrefix="0" xfId="0"/>
    <xf numFmtId="164" fontId="0" fillId="0" borderId="1" pivotButton="0" quotePrefix="0" xfId="0"/>
    <xf numFmtId="0" fontId="0" fillId="0" borderId="1" pivotButton="0" quotePrefix="0" xfId="0"/>
    <xf numFmtId="166" fontId="0" fillId="0" borderId="1" applyAlignment="1" pivotButton="0" quotePrefix="0" xfId="0">
      <alignment vertical="top" wrapText="1"/>
    </xf>
    <xf numFmtId="2" fontId="0" fillId="0" borderId="1" applyAlignment="1" pivotButton="0" quotePrefix="0" xfId="0">
      <alignment vertical="top" wrapText="1"/>
    </xf>
    <xf numFmtId="0" fontId="0" fillId="5" borderId="1" applyAlignment="1" pivotButton="0" quotePrefix="0" xfId="0">
      <alignment vertical="top" wrapText="1"/>
    </xf>
    <xf numFmtId="166" fontId="0" fillId="0" borderId="1" pivotButton="0" quotePrefix="0" xfId="0"/>
    <xf numFmtId="2" fontId="0" fillId="0" borderId="1" pivotButton="0" quotePrefix="0" xfId="0"/>
    <xf numFmtId="0" fontId="3" fillId="6" borderId="1" pivotButton="0" quotePrefix="0" xfId="0"/>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COGS By Method</a:t>
            </a:r>
          </a:p>
        </rich>
      </tx>
    </title>
    <plotArea>
      <barChart>
        <barDir val="col"/>
        <grouping val="clustered"/>
        <ser>
          <idx val="0"/>
          <order val="0"/>
          <tx>
            <strRef>
              <f>'MethodCompare'!D4</f>
            </strRef>
          </tx>
          <spPr>
            <a:ln xmlns:a="http://schemas.openxmlformats.org/drawingml/2006/main">
              <a:prstDash val="solid"/>
            </a:ln>
          </spPr>
          <cat>
            <numRef>
              <f>'MethodCompare'!$A$5:$A$8</f>
            </numRef>
          </cat>
          <val>
            <numRef>
              <f>'MethodCompare'!$D$5:$D$8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Method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COGS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Days On Hand By Method</a:t>
            </a:r>
          </a:p>
        </rich>
      </tx>
    </title>
    <plotArea>
      <barChart>
        <barDir val="bar"/>
        <grouping val="clustered"/>
        <ser>
          <idx val="0"/>
          <order val="0"/>
          <tx>
            <strRef>
              <f>'MethodCompare'!J4</f>
            </strRef>
          </tx>
          <spPr>
            <a:ln xmlns:a="http://schemas.openxmlformats.org/drawingml/2006/main">
              <a:prstDash val="solid"/>
            </a:ln>
          </spPr>
          <cat>
            <numRef>
              <f>'MethodCompare'!$A$5:$A$8</f>
            </numRef>
          </cat>
          <val>
            <numRef>
              <f>'MethodCompare'!$J$5:$J$8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Days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Method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3</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39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BeginningInventoryTbl" displayName="BeginningInventoryTbl" ref="A4:I5" headerRowCount="1">
  <autoFilter ref="A4:I5"/>
  <tableColumns count="9">
    <tableColumn id="1" name="LotID"/>
    <tableColumn id="2" name="SKU"/>
    <tableColumn id="3" name="Item"/>
    <tableColumn id="4" name="ReceiptDate"/>
    <tableColumn id="5" name="Units"/>
    <tableColumn id="6" name="UnitCost"/>
    <tableColumn id="7" name="ExtendedCost"/>
    <tableColumn id="8" name="StorageNote"/>
    <tableColumn id="9" name="Notes"/>
  </tableColumns>
  <tableStyleInfo name="TableStyleMedium2" showFirstColumn="0" showLastColumn="0" showRowStripes="1" showColumnStripes="0"/>
</table>
</file>

<file path=xl/tables/table2.xml><?xml version="1.0" encoding="utf-8"?>
<table xmlns="http://schemas.openxmlformats.org/spreadsheetml/2006/main" id="2" name="PurchasesTbl" displayName="PurchasesTbl" ref="A4:I8" headerRowCount="1">
  <autoFilter ref="A4:I8"/>
  <tableColumns count="9">
    <tableColumn id="1" name="LotID"/>
    <tableColumn id="2" name="PO"/>
    <tableColumn id="3" name="SKU"/>
    <tableColumn id="4" name="ReceiptDate"/>
    <tableColumn id="5" name="Units"/>
    <tableColumn id="6" name="UnitCost"/>
    <tableColumn id="7" name="ExtendedCost"/>
    <tableColumn id="8" name="Vendor"/>
    <tableColumn id="9" name="Notes"/>
  </tableColumns>
  <tableStyleInfo name="TableStyleMedium2" showFirstColumn="0" showLastColumn="0" showRowStripes="1" showColumnStripes="0"/>
</table>
</file>

<file path=xl/tables/table3.xml><?xml version="1.0" encoding="utf-8"?>
<table xmlns="http://schemas.openxmlformats.org/spreadsheetml/2006/main" id="3" name="SalesTbl" displayName="SalesTbl" ref="A4:G7" headerRowCount="1">
  <autoFilter ref="A4:G7"/>
  <tableColumns count="7">
    <tableColumn id="1" name="SaleID"/>
    <tableColumn id="2" name="SKU"/>
    <tableColumn id="3" name="SaleDate"/>
    <tableColumn id="4" name="UnitsSold"/>
    <tableColumn id="5" name="UnitPrice"/>
    <tableColumn id="6" name="Revenue"/>
    <tableColumn id="7" name="Notes"/>
  </tableColumns>
  <tableStyleInfo name="TableStyleMedium2" showFirstColumn="0" showLastColumn="0" showRowStripes="1" showColumnStripes="0"/>
</table>
</file>

<file path=xl/tables/table4.xml><?xml version="1.0" encoding="utf-8"?>
<table xmlns="http://schemas.openxmlformats.org/spreadsheetml/2006/main" id="4" name="SpecificAssignTbl" displayName="SpecificAssignTbl" ref="A11:F20" headerRowCount="1">
  <autoFilter ref="A11:F20"/>
  <tableColumns count="6">
    <tableColumn id="1" name="SaleID"/>
    <tableColumn id="2" name="LotID"/>
    <tableColumn id="3" name="UnitsAssigned"/>
    <tableColumn id="4" name="UnitCost"/>
    <tableColumn id="5" name="ExtendedCost"/>
    <tableColumn id="6" name="WhyThisLot"/>
  </tableColumns>
  <tableStyleInfo name="TableStyleMedium2" showFirstColumn="0" showLastColumn="0" showRowStripes="1" showColumnStripes="0"/>
</table>
</file>

<file path=xl/tables/table5.xml><?xml version="1.0" encoding="utf-8"?>
<table xmlns="http://schemas.openxmlformats.org/spreadsheetml/2006/main" id="5" name="MethodCompareTbl" displayName="MethodCompareTbl" ref="A4:K8" headerRowCount="1">
  <autoFilter ref="A4:K8"/>
  <tableColumns count="11">
    <tableColumn id="1" name="Method"/>
    <tableColumn id="2" name="Units Sold"/>
    <tableColumn id="3" name="Revenue"/>
    <tableColumn id="4" name="COGS"/>
    <tableColumn id="5" name="Ending Inventory"/>
    <tableColumn id="6" name="Gross Margin $"/>
    <tableColumn id="7" name="Gross Margin %"/>
    <tableColumn id="8" name="Avg Inventory"/>
    <tableColumn id="9" name="Turnover"/>
    <tableColumn id="10" name="Days On Hand"/>
    <tableColumn id="11" name="Read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6"/>
  <sheetViews>
    <sheetView workbookViewId="0">
      <pane ySplit="2" topLeftCell="A3" activePane="bottomLeft" state="frozen"/>
      <selection pane="bottomLeft" activeCell="A1" sqref="A1"/>
    </sheetView>
  </sheetViews>
  <sheetFormatPr baseColWidth="8" defaultRowHeight="15"/>
  <cols>
    <col width="20" customWidth="1" min="1" max="1"/>
    <col width="95" customWidth="1" min="2" max="2"/>
    <col width="18" customWidth="1" min="3" max="3"/>
  </cols>
  <sheetData>
    <row r="1">
      <c r="A1" s="1" t="inlineStr">
        <is>
          <t>Unit 07 Lesson 07 - Inventory Project Rehearsal Workbook</t>
        </is>
      </c>
    </row>
    <row r="2"/>
    <row r="3">
      <c r="A3" s="2" t="inlineStr">
        <is>
          <t>Purpose</t>
        </is>
      </c>
      <c r="B3" s="3" t="inlineStr">
        <is>
          <t>This shared workbook is the Lesson 07 dress rehearsal before groups move into their own Unit 07 inventory datasets in Lessons 08-10.</t>
        </is>
      </c>
    </row>
    <row r="4">
      <c r="A4" s="2" t="inlineStr">
        <is>
          <t>Business</t>
        </is>
      </c>
      <c r="B4" s="3" t="inlineStr">
        <is>
          <t>TechStart Hardware - USB-C docking station inventory review for an investor update.</t>
        </is>
      </c>
    </row>
    <row r="5">
      <c r="A5" s="2" t="inlineStr">
        <is>
          <t>Question</t>
        </is>
      </c>
      <c r="B5" s="3" t="inlineStr">
        <is>
          <t>Which inventory valuation method tells the clearest, most defensible story about profit, turnover, and inventory risk?</t>
        </is>
      </c>
    </row>
    <row r="6">
      <c r="A6" s="2" t="inlineStr">
        <is>
          <t>Rehearsal Rule</t>
        </is>
      </c>
      <c r="B6" s="3" t="inlineStr">
        <is>
          <t>Everyone uses the same numbers today so the class can compare workbook quality, evidence chains, and recommendation clarity directly.</t>
        </is>
      </c>
    </row>
    <row r="7"/>
    <row r="8">
      <c r="A8" s="4" t="inlineStr">
        <is>
          <t>Workbook Map</t>
        </is>
      </c>
    </row>
    <row r="9">
      <c r="A9" s="5" t="inlineStr">
        <is>
          <t>ReadMe</t>
        </is>
      </c>
      <c r="B9" s="5" t="inlineStr">
        <is>
          <t>Business brief, workbook map, and project standard.</t>
        </is>
      </c>
    </row>
    <row r="10">
      <c r="A10" s="3" t="inlineStr">
        <is>
          <t>Inputs</t>
        </is>
      </c>
      <c r="B10" s="3" t="inlineStr">
        <is>
          <t>Shared controls plus top-level totals used across the workbook.</t>
        </is>
      </c>
    </row>
    <row r="11">
      <c r="A11" s="3" t="inlineStr">
        <is>
          <t>BeginningInventory</t>
        </is>
      </c>
      <c r="B11" s="3" t="inlineStr">
        <is>
          <t>Opening layer that starts goods available for sale.</t>
        </is>
      </c>
    </row>
    <row r="12">
      <c r="A12" s="3" t="inlineStr">
        <is>
          <t>Purchases</t>
        </is>
      </c>
      <c r="B12" s="3" t="inlineStr">
        <is>
          <t>Dated purchase layers with rising unit costs.</t>
        </is>
      </c>
    </row>
    <row r="13">
      <c r="A13" s="3" t="inlineStr">
        <is>
          <t>Sales</t>
        </is>
      </c>
      <c r="B13" s="3" t="inlineStr">
        <is>
          <t>Sales transactions plus the specific-ID assignment log.</t>
        </is>
      </c>
    </row>
    <row r="14">
      <c r="A14" s="3" t="inlineStr">
        <is>
          <t>Valuation</t>
        </is>
      </c>
      <c r="B14" s="3" t="inlineStr">
        <is>
          <t>Layer-by-layer FIFO, LIFO, Weighted Average, and Specific ID math.</t>
        </is>
      </c>
    </row>
    <row r="15">
      <c r="A15" s="3" t="inlineStr">
        <is>
          <t>MethodCompare</t>
        </is>
      </c>
      <c r="B15" s="3" t="inlineStr">
        <is>
          <t>Side-by-side COGS, ending inventory, gross margin, turnover, and days on hand.</t>
        </is>
      </c>
    </row>
    <row r="16">
      <c r="A16" s="3" t="inlineStr">
        <is>
          <t>Checks</t>
        </is>
      </c>
      <c r="B16" s="3" t="inlineStr">
        <is>
          <t>Validation flags for SKU completeness, costs, balance, and workbook readiness.</t>
        </is>
      </c>
    </row>
    <row r="17">
      <c r="A17" s="3" t="inlineStr">
        <is>
          <t>Dashboard</t>
        </is>
      </c>
      <c r="B17" s="3" t="inlineStr">
        <is>
          <t>Investor-facing KPI snapshot and method comparison charts.</t>
        </is>
      </c>
    </row>
    <row r="18">
      <c r="A18" s="3" t="inlineStr">
        <is>
          <t>Recommendation</t>
        </is>
      </c>
      <c r="B18" s="3" t="inlineStr">
        <is>
          <t>Claim + evidence + risk statement tied to workbook numbers.</t>
        </is>
      </c>
    </row>
    <row r="19"/>
    <row r="20"/>
    <row r="21">
      <c r="A21" s="4" t="inlineStr">
        <is>
          <t>Definition Of Done</t>
        </is>
      </c>
    </row>
    <row r="22">
      <c r="A22" s="3" t="inlineStr">
        <is>
          <t>-</t>
        </is>
      </c>
      <c r="B22" s="3" t="inlineStr">
        <is>
          <t>All four methods reconcile so COGS + Ending Inventory = GAFS.</t>
        </is>
      </c>
    </row>
    <row r="23">
      <c r="A23" s="3" t="inlineStr">
        <is>
          <t>-</t>
        </is>
      </c>
      <c r="B23" s="3" t="inlineStr">
        <is>
          <t>MethodCompare shows the tradeoff between profitability and turnover.</t>
        </is>
      </c>
    </row>
    <row r="24">
      <c r="A24" s="3" t="inlineStr">
        <is>
          <t>-</t>
        </is>
      </c>
      <c r="B24" s="3" t="inlineStr">
        <is>
          <t>Dashboard links the selected method to a clean KPI snapshot.</t>
        </is>
      </c>
    </row>
    <row r="25">
      <c r="A25" s="3" t="inlineStr">
        <is>
          <t>-</t>
        </is>
      </c>
      <c r="B25" s="3" t="inlineStr">
        <is>
          <t>Recommendation cites workbook numbers and names one risk or limitation.</t>
        </is>
      </c>
    </row>
    <row r="26">
      <c r="A26" s="3" t="inlineStr">
        <is>
          <t>-</t>
        </is>
      </c>
      <c r="B26" s="3" t="inlineStr">
        <is>
          <t>Checks sheet has no remaining action flags before peer audit.</t>
        </is>
      </c>
    </row>
  </sheetData>
  <mergeCells count="3">
    <mergeCell ref="A1:J1"/>
    <mergeCell ref="A8:C8"/>
    <mergeCell ref="A21:C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28" customWidth="1" min="1" max="1"/>
    <col width="22" customWidth="1" min="2" max="2"/>
    <col width="70" customWidth="1" min="3" max="3"/>
  </cols>
  <sheetData>
    <row r="1">
      <c r="A1" s="1" t="inlineStr">
        <is>
          <t>Controls And Shared Totals</t>
        </is>
      </c>
    </row>
    <row r="2"/>
    <row r="3">
      <c r="A3" s="4" t="inlineStr">
        <is>
          <t>Workbook Controls</t>
        </is>
      </c>
    </row>
    <row r="4">
      <c r="A4" s="5" t="inlineStr">
        <is>
          <t>Control</t>
        </is>
      </c>
      <c r="B4" s="5" t="inlineStr">
        <is>
          <t>Value</t>
        </is>
      </c>
      <c r="C4" s="5" t="inlineStr">
        <is>
          <t>Why It Matters</t>
        </is>
      </c>
    </row>
    <row r="5">
      <c r="A5" s="3" t="inlineStr">
        <is>
          <t>Selected Method</t>
        </is>
      </c>
      <c r="B5" s="6" t="inlineStr">
        <is>
          <t>Weighted Average</t>
        </is>
      </c>
      <c r="C5" s="3" t="inlineStr">
        <is>
          <t>Controls the dashboard snapshot and recommendation lens.</t>
        </is>
      </c>
    </row>
    <row r="6">
      <c r="A6" s="3" t="inlineStr">
        <is>
          <t>As Of Date</t>
        </is>
      </c>
      <c r="B6" s="7">
        <f>MAX(BeginningInventory!$D$5,Purchases!$D$5,Purchases!$D$6,Purchases!$D$7,Purchases!$D$8,Sales!$C$5,Sales!$C$6,Sales!$C$7)</f>
        <v/>
      </c>
      <c r="C6" s="3" t="inlineStr">
        <is>
          <t>Latest transaction date in the rehearsal dataset.</t>
        </is>
      </c>
    </row>
    <row r="7">
      <c r="A7" s="3" t="inlineStr">
        <is>
          <t>Total Units Sold</t>
        </is>
      </c>
      <c r="B7" s="8">
        <f>SUM(Sales!$D$5:$D$7)</f>
        <v/>
      </c>
      <c r="C7" s="3" t="inlineStr">
        <is>
          <t>Used by every valuation method.</t>
        </is>
      </c>
    </row>
    <row r="8">
      <c r="A8" s="3" t="inlineStr">
        <is>
          <t>Total Revenue</t>
        </is>
      </c>
      <c r="B8" s="7">
        <f>SUM(Sales!$F$5:$F$7)</f>
        <v/>
      </c>
      <c r="C8" s="3" t="inlineStr">
        <is>
          <t>Common revenue base for gross margin analysis.</t>
        </is>
      </c>
    </row>
    <row r="9">
      <c r="A9" s="3" t="inlineStr">
        <is>
          <t>GAFS Units</t>
        </is>
      </c>
      <c r="B9" s="8">
        <f>SUM(BeginningInventory!$E$5)+SUM(Purchases!$E$5:$E$8)</f>
        <v/>
      </c>
      <c r="C9" s="3" t="inlineStr">
        <is>
          <t>Beginning units plus purchases.</t>
        </is>
      </c>
    </row>
    <row r="10">
      <c r="A10" s="3" t="inlineStr">
        <is>
          <t>GAFS Cost</t>
        </is>
      </c>
      <c r="B10" s="8">
        <f>SUM(BeginningInventory!$G$5)+SUM(Purchases!$G$5:$G$8)</f>
        <v/>
      </c>
      <c r="C10" s="3" t="inlineStr">
        <is>
          <t>Total cost available for sale.</t>
        </is>
      </c>
    </row>
    <row r="11">
      <c r="A11" s="3" t="inlineStr">
        <is>
          <t>Beginning Inventory Cost</t>
        </is>
      </c>
      <c r="B11" s="8">
        <f>SUM(BeginningInventory!$G$5)</f>
        <v/>
      </c>
      <c r="C11" s="3" t="inlineStr">
        <is>
          <t>Used for average inventory turnover math.</t>
        </is>
      </c>
    </row>
    <row r="12"/>
    <row r="13">
      <c r="A13" s="4" t="inlineStr">
        <is>
          <t>Interpretation Notes</t>
        </is>
      </c>
    </row>
    <row r="14">
      <c r="A14" s="5" t="inlineStr">
        <is>
          <t>Topic</t>
        </is>
      </c>
      <c r="B14" s="5" t="inlineStr">
        <is>
          <t>Note</t>
        </is>
      </c>
    </row>
    <row r="15">
      <c r="A15" s="3" t="inlineStr">
        <is>
          <t>Cost pattern</t>
        </is>
      </c>
      <c r="B15" s="3" t="inlineStr">
        <is>
          <t>Purchase costs rise from $30.00 to $35.50, so method choice changes both profit and ending inventory.</t>
        </is>
      </c>
    </row>
    <row r="16">
      <c r="A16" s="3" t="inlineStr">
        <is>
          <t>Physical reality</t>
        </is>
      </c>
      <c r="B16" s="3" t="inlineStr">
        <is>
          <t>Units are identical, which makes Weighted Average practical and Specific ID harder to scale.</t>
        </is>
      </c>
    </row>
    <row r="17">
      <c r="A17" s="3" t="inlineStr">
        <is>
          <t>Audience</t>
        </is>
      </c>
      <c r="B17" s="3" t="inlineStr">
        <is>
          <t>Assume an investor wants numbers that can be traced quickly and defended clearly.</t>
        </is>
      </c>
    </row>
  </sheetData>
  <mergeCells count="3">
    <mergeCell ref="A1:D1"/>
    <mergeCell ref="A13:D13"/>
    <mergeCell ref="A3:D3"/>
  </mergeCells>
  <dataValidations count="1">
    <dataValidation sqref="B5" showDropDown="0" showInputMessage="0" showErrorMessage="0" allowBlank="0" type="list">
      <formula1>"FIFO,LIFO,Weighted Average,Specific ID"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6" customWidth="1" min="3" max="3"/>
    <col width="14" customWidth="1" min="4" max="4"/>
    <col width="10" customWidth="1" min="5" max="5"/>
    <col width="12" customWidth="1" min="6" max="6"/>
    <col width="14" customWidth="1" min="7" max="7"/>
    <col width="18" customWidth="1" min="8" max="8"/>
    <col width="32" customWidth="1" min="9" max="9"/>
  </cols>
  <sheetData>
    <row r="1">
      <c r="A1" s="1" t="inlineStr">
        <is>
          <t>Beginning Inventory Layer</t>
        </is>
      </c>
    </row>
    <row r="2"/>
    <row r="3"/>
    <row r="4">
      <c r="A4" s="5" t="inlineStr">
        <is>
          <t>LotID</t>
        </is>
      </c>
      <c r="B4" s="5" t="inlineStr">
        <is>
          <t>SKU</t>
        </is>
      </c>
      <c r="C4" s="5" t="inlineStr">
        <is>
          <t>Item</t>
        </is>
      </c>
      <c r="D4" s="5" t="inlineStr">
        <is>
          <t>ReceiptDate</t>
        </is>
      </c>
      <c r="E4" s="5" t="inlineStr">
        <is>
          <t>Units</t>
        </is>
      </c>
      <c r="F4" s="5" t="inlineStr">
        <is>
          <t>UnitCost</t>
        </is>
      </c>
      <c r="G4" s="5" t="inlineStr">
        <is>
          <t>ExtendedCost</t>
        </is>
      </c>
      <c r="H4" s="5" t="inlineStr">
        <is>
          <t>StorageNote</t>
        </is>
      </c>
      <c r="I4" s="5" t="inlineStr">
        <is>
          <t>Notes</t>
        </is>
      </c>
    </row>
    <row r="5">
      <c r="A5" s="3" t="inlineStr">
        <is>
          <t>Beg-01</t>
        </is>
      </c>
      <c r="B5" s="3" t="inlineStr">
        <is>
          <t>TS-DOCK-01</t>
        </is>
      </c>
      <c r="C5" s="3" t="inlineStr">
        <is>
          <t>USB-C Docking Station</t>
        </is>
      </c>
      <c r="D5" s="9" t="inlineStr">
        <is>
          <t>2025-01-01</t>
        </is>
      </c>
      <c r="E5" s="3" t="n">
        <v>50</v>
      </c>
      <c r="F5" s="8" t="n">
        <v>28</v>
      </c>
      <c r="G5" s="8">
        <f>E5*F5</f>
        <v/>
      </c>
      <c r="H5" s="3" t="inlineStr">
        <is>
          <t>Warehouse A</t>
        </is>
      </c>
      <c r="I5" s="3" t="inlineStr">
        <is>
          <t>Opening layer carried into January</t>
        </is>
      </c>
    </row>
  </sheetData>
  <mergeCells count="1">
    <mergeCell ref="A1:I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6" customWidth="1" min="3" max="3"/>
    <col width="14" customWidth="1" min="4" max="4"/>
    <col width="10" customWidth="1" min="5" max="5"/>
    <col width="12" customWidth="1" min="6" max="6"/>
    <col width="14" customWidth="1" min="7" max="7"/>
    <col width="14" customWidth="1" min="8" max="8"/>
    <col width="34" customWidth="1" min="9" max="9"/>
  </cols>
  <sheetData>
    <row r="1">
      <c r="A1" s="1" t="inlineStr">
        <is>
          <t>Purchase Layers</t>
        </is>
      </c>
    </row>
    <row r="2"/>
    <row r="3"/>
    <row r="4">
      <c r="A4" s="5" t="inlineStr">
        <is>
          <t>LotID</t>
        </is>
      </c>
      <c r="B4" s="5" t="inlineStr">
        <is>
          <t>PO</t>
        </is>
      </c>
      <c r="C4" s="5" t="inlineStr">
        <is>
          <t>SKU</t>
        </is>
      </c>
      <c r="D4" s="5" t="inlineStr">
        <is>
          <t>ReceiptDate</t>
        </is>
      </c>
      <c r="E4" s="5" t="inlineStr">
        <is>
          <t>Units</t>
        </is>
      </c>
      <c r="F4" s="5" t="inlineStr">
        <is>
          <t>UnitCost</t>
        </is>
      </c>
      <c r="G4" s="5" t="inlineStr">
        <is>
          <t>ExtendedCost</t>
        </is>
      </c>
      <c r="H4" s="5" t="inlineStr">
        <is>
          <t>Vendor</t>
        </is>
      </c>
      <c r="I4" s="5" t="inlineStr">
        <is>
          <t>Notes</t>
        </is>
      </c>
    </row>
    <row r="5">
      <c r="A5" s="3" t="inlineStr">
        <is>
          <t>PO-101</t>
        </is>
      </c>
      <c r="B5" s="3" t="inlineStr">
        <is>
          <t>PO-101</t>
        </is>
      </c>
      <c r="C5" s="3" t="inlineStr">
        <is>
          <t>TS-DOCK-01</t>
        </is>
      </c>
      <c r="D5" s="9" t="inlineStr">
        <is>
          <t>2025-01-05</t>
        </is>
      </c>
      <c r="E5" s="3" t="n">
        <v>40</v>
      </c>
      <c r="F5" s="8" t="n">
        <v>30</v>
      </c>
      <c r="G5" s="8">
        <f>E5*F5</f>
        <v/>
      </c>
      <c r="H5" s="3" t="inlineStr">
        <is>
          <t>Northwave</t>
        </is>
      </c>
      <c r="I5" s="3" t="inlineStr">
        <is>
          <t>First January replenishment</t>
        </is>
      </c>
    </row>
    <row r="6">
      <c r="A6" s="3" t="inlineStr">
        <is>
          <t>PO-102</t>
        </is>
      </c>
      <c r="B6" s="3" t="inlineStr">
        <is>
          <t>PO-102</t>
        </is>
      </c>
      <c r="C6" s="3" t="inlineStr">
        <is>
          <t>TS-DOCK-01</t>
        </is>
      </c>
      <c r="D6" s="9" t="inlineStr">
        <is>
          <t>2025-01-12</t>
        </is>
      </c>
      <c r="E6" s="3" t="n">
        <v>35</v>
      </c>
      <c r="F6" s="8" t="n">
        <v>32</v>
      </c>
      <c r="G6" s="8">
        <f>E6*F6</f>
        <v/>
      </c>
      <c r="H6" s="3" t="inlineStr">
        <is>
          <t>Northwave</t>
        </is>
      </c>
      <c r="I6" s="3" t="inlineStr">
        <is>
          <t>Costs continue to rise</t>
        </is>
      </c>
    </row>
    <row r="7">
      <c r="A7" s="3" t="inlineStr">
        <is>
          <t>PO-103</t>
        </is>
      </c>
      <c r="B7" s="3" t="inlineStr">
        <is>
          <t>PO-103</t>
        </is>
      </c>
      <c r="C7" s="3" t="inlineStr">
        <is>
          <t>TS-DOCK-01</t>
        </is>
      </c>
      <c r="D7" s="9" t="inlineStr">
        <is>
          <t>2025-01-20</t>
        </is>
      </c>
      <c r="E7" s="3" t="n">
        <v>45</v>
      </c>
      <c r="F7" s="8" t="n">
        <v>34</v>
      </c>
      <c r="G7" s="8">
        <f>E7*F7</f>
        <v/>
      </c>
      <c r="H7" s="3" t="inlineStr">
        <is>
          <t>Northwave</t>
        </is>
      </c>
      <c r="I7" s="3" t="inlineStr">
        <is>
          <t>Conference demand restock</t>
        </is>
      </c>
    </row>
    <row r="8">
      <c r="A8" s="3" t="inlineStr">
        <is>
          <t>PO-104</t>
        </is>
      </c>
      <c r="B8" s="3" t="inlineStr">
        <is>
          <t>PO-104</t>
        </is>
      </c>
      <c r="C8" s="3" t="inlineStr">
        <is>
          <t>TS-DOCK-01</t>
        </is>
      </c>
      <c r="D8" s="9" t="inlineStr">
        <is>
          <t>2025-01-28</t>
        </is>
      </c>
      <c r="E8" s="3" t="n">
        <v>30</v>
      </c>
      <c r="F8" s="8" t="n">
        <v>35.5</v>
      </c>
      <c r="G8" s="8">
        <f>E8*F8</f>
        <v/>
      </c>
      <c r="H8" s="3" t="inlineStr">
        <is>
          <t>Northwave</t>
        </is>
      </c>
      <c r="I8" s="3" t="inlineStr">
        <is>
          <t>Late-month replacement at highest cost</t>
        </is>
      </c>
    </row>
  </sheetData>
  <mergeCells count="1">
    <mergeCell ref="A1:I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14" customWidth="1" min="3" max="3"/>
    <col width="12" customWidth="1" min="4" max="4"/>
    <col width="12" customWidth="1" min="5" max="5"/>
    <col width="14" customWidth="1" min="6" max="6"/>
    <col width="28" customWidth="1" min="7" max="7"/>
  </cols>
  <sheetData>
    <row r="1">
      <c r="A1" s="1" t="inlineStr">
        <is>
          <t>Sales And Specific-ID Assignment Log</t>
        </is>
      </c>
    </row>
    <row r="2"/>
    <row r="3"/>
    <row r="4">
      <c r="A4" s="5" t="inlineStr">
        <is>
          <t>SaleID</t>
        </is>
      </c>
      <c r="B4" s="5" t="inlineStr">
        <is>
          <t>SKU</t>
        </is>
      </c>
      <c r="C4" s="5" t="inlineStr">
        <is>
          <t>SaleDate</t>
        </is>
      </c>
      <c r="D4" s="5" t="inlineStr">
        <is>
          <t>UnitsSold</t>
        </is>
      </c>
      <c r="E4" s="5" t="inlineStr">
        <is>
          <t>UnitPrice</t>
        </is>
      </c>
      <c r="F4" s="5" t="inlineStr">
        <is>
          <t>Revenue</t>
        </is>
      </c>
      <c r="G4" s="5" t="inlineStr">
        <is>
          <t>Notes</t>
        </is>
      </c>
    </row>
    <row r="5">
      <c r="A5" s="3" t="inlineStr">
        <is>
          <t>INV-201</t>
        </is>
      </c>
      <c r="B5" s="3" t="inlineStr">
        <is>
          <t>TS-DOCK-01</t>
        </is>
      </c>
      <c r="C5" s="9" t="inlineStr">
        <is>
          <t>2025-01-09</t>
        </is>
      </c>
      <c r="D5" s="3" t="n">
        <v>25</v>
      </c>
      <c r="E5" s="8" t="n">
        <v>54</v>
      </c>
      <c r="F5" s="8">
        <f>D5*E5</f>
        <v/>
      </c>
      <c r="G5" s="3" t="inlineStr">
        <is>
          <t>Starter bundle rollout</t>
        </is>
      </c>
    </row>
    <row r="6">
      <c r="A6" s="3" t="inlineStr">
        <is>
          <t>INV-202</t>
        </is>
      </c>
      <c r="B6" s="3" t="inlineStr">
        <is>
          <t>TS-DOCK-01</t>
        </is>
      </c>
      <c r="C6" s="9" t="inlineStr">
        <is>
          <t>2025-01-18</t>
        </is>
      </c>
      <c r="D6" s="3" t="n">
        <v>40</v>
      </c>
      <c r="E6" s="8" t="n">
        <v>55</v>
      </c>
      <c r="F6" s="8">
        <f>D6*E6</f>
        <v/>
      </c>
      <c r="G6" s="3" t="inlineStr">
        <is>
          <t>Conference order</t>
        </is>
      </c>
    </row>
    <row r="7">
      <c r="A7" s="3" t="inlineStr">
        <is>
          <t>INV-203</t>
        </is>
      </c>
      <c r="B7" s="3" t="inlineStr">
        <is>
          <t>TS-DOCK-01</t>
        </is>
      </c>
      <c r="C7" s="9" t="inlineStr">
        <is>
          <t>2025-01-30</t>
        </is>
      </c>
      <c r="D7" s="3" t="n">
        <v>50</v>
      </c>
      <c r="E7" s="8" t="n">
        <v>56</v>
      </c>
      <c r="F7" s="8">
        <f>D7*E7</f>
        <v/>
      </c>
      <c r="G7" s="3" t="inlineStr">
        <is>
          <t>Month-end install batch</t>
        </is>
      </c>
    </row>
    <row r="8"/>
    <row r="9"/>
    <row r="10">
      <c r="A10" s="4" t="inlineStr">
        <is>
          <t>Specific ID Assignment Table</t>
        </is>
      </c>
    </row>
    <row r="11">
      <c r="A11" s="5" t="inlineStr">
        <is>
          <t>SaleID</t>
        </is>
      </c>
      <c r="B11" s="5" t="inlineStr">
        <is>
          <t>LotID</t>
        </is>
      </c>
      <c r="C11" s="5" t="inlineStr">
        <is>
          <t>UnitsAssigned</t>
        </is>
      </c>
      <c r="D11" s="5" t="inlineStr">
        <is>
          <t>UnitCost</t>
        </is>
      </c>
      <c r="E11" s="5" t="inlineStr">
        <is>
          <t>ExtendedCost</t>
        </is>
      </c>
      <c r="F11" s="5" t="inlineStr">
        <is>
          <t>WhyThisLot</t>
        </is>
      </c>
    </row>
    <row r="12">
      <c r="A12" s="3" t="inlineStr">
        <is>
          <t>INV-201</t>
        </is>
      </c>
      <c r="B12" s="3" t="inlineStr">
        <is>
          <t>Beg-01</t>
        </is>
      </c>
      <c r="C12" s="3" t="n">
        <v>10</v>
      </c>
      <c r="D12" s="8" t="n">
        <v>28</v>
      </c>
      <c r="E12" s="8">
        <f>C12*D12</f>
        <v/>
      </c>
      <c r="F12" s="3" t="inlineStr">
        <is>
          <t>Reserved units from opening stock</t>
        </is>
      </c>
    </row>
    <row r="13">
      <c r="A13" s="3" t="inlineStr">
        <is>
          <t>INV-201</t>
        </is>
      </c>
      <c r="B13" s="3" t="inlineStr">
        <is>
          <t>PO-101</t>
        </is>
      </c>
      <c r="C13" s="3" t="n">
        <v>15</v>
      </c>
      <c r="D13" s="8" t="n">
        <v>30</v>
      </c>
      <c r="E13" s="8">
        <f>C13*D13</f>
        <v/>
      </c>
      <c r="F13" s="3" t="inlineStr">
        <is>
          <t>Paired with first restock</t>
        </is>
      </c>
    </row>
    <row r="14">
      <c r="A14" s="3" t="inlineStr">
        <is>
          <t>INV-202</t>
        </is>
      </c>
      <c r="B14" s="3" t="inlineStr">
        <is>
          <t>PO-101</t>
        </is>
      </c>
      <c r="C14" s="3" t="n">
        <v>5</v>
      </c>
      <c r="D14" s="8" t="n">
        <v>30</v>
      </c>
      <c r="E14" s="8">
        <f>C14*D14</f>
        <v/>
      </c>
      <c r="F14" s="3" t="inlineStr">
        <is>
          <t>Used remaining early lot</t>
        </is>
      </c>
    </row>
    <row r="15">
      <c r="A15" s="3" t="inlineStr">
        <is>
          <t>INV-202</t>
        </is>
      </c>
      <c r="B15" s="3" t="inlineStr">
        <is>
          <t>PO-102</t>
        </is>
      </c>
      <c r="C15" s="3" t="n">
        <v>20</v>
      </c>
      <c r="D15" s="8" t="n">
        <v>32</v>
      </c>
      <c r="E15" s="8">
        <f>C15*D15</f>
        <v/>
      </c>
      <c r="F15" s="3" t="inlineStr">
        <is>
          <t>Mid-month promotion bundle</t>
        </is>
      </c>
    </row>
    <row r="16">
      <c r="A16" s="3" t="inlineStr">
        <is>
          <t>INV-202</t>
        </is>
      </c>
      <c r="B16" s="3" t="inlineStr">
        <is>
          <t>PO-103</t>
        </is>
      </c>
      <c r="C16" s="3" t="n">
        <v>15</v>
      </c>
      <c r="D16" s="8" t="n">
        <v>34</v>
      </c>
      <c r="E16" s="8">
        <f>C16*D16</f>
        <v/>
      </c>
      <c r="F16" s="3" t="inlineStr">
        <is>
          <t>Conference installation timing</t>
        </is>
      </c>
    </row>
    <row r="17">
      <c r="A17" s="3" t="inlineStr">
        <is>
          <t>INV-203</t>
        </is>
      </c>
      <c r="B17" s="3" t="inlineStr">
        <is>
          <t>Beg-01</t>
        </is>
      </c>
      <c r="C17" s="3" t="n">
        <v>5</v>
      </c>
      <c r="D17" s="8" t="n">
        <v>28</v>
      </c>
      <c r="E17" s="8">
        <f>C17*D17</f>
        <v/>
      </c>
      <c r="F17" s="3" t="inlineStr">
        <is>
          <t>Legacy units still tagged to service plans</t>
        </is>
      </c>
    </row>
    <row r="18">
      <c r="A18" s="3" t="inlineStr">
        <is>
          <t>INV-203</t>
        </is>
      </c>
      <c r="B18" s="3" t="inlineStr">
        <is>
          <t>PO-102</t>
        </is>
      </c>
      <c r="C18" s="3" t="n">
        <v>5</v>
      </c>
      <c r="D18" s="8" t="n">
        <v>32</v>
      </c>
      <c r="E18" s="8">
        <f>C18*D18</f>
        <v/>
      </c>
      <c r="F18" s="3" t="inlineStr">
        <is>
          <t>Balanced mix for large order</t>
        </is>
      </c>
    </row>
    <row r="19">
      <c r="A19" s="3" t="inlineStr">
        <is>
          <t>INV-203</t>
        </is>
      </c>
      <c r="B19" s="3" t="inlineStr">
        <is>
          <t>PO-103</t>
        </is>
      </c>
      <c r="C19" s="3" t="n">
        <v>20</v>
      </c>
      <c r="D19" s="8" t="n">
        <v>34</v>
      </c>
      <c r="E19" s="8">
        <f>C19*D19</f>
        <v/>
      </c>
      <c r="F19" s="3" t="inlineStr">
        <is>
          <t>Recent units matched to bulk shipment</t>
        </is>
      </c>
    </row>
    <row r="20">
      <c r="A20" s="3" t="inlineStr">
        <is>
          <t>INV-203</t>
        </is>
      </c>
      <c r="B20" s="3" t="inlineStr">
        <is>
          <t>PO-104</t>
        </is>
      </c>
      <c r="C20" s="3" t="n">
        <v>20</v>
      </c>
      <c r="D20" s="8" t="n">
        <v>35.5</v>
      </c>
      <c r="E20" s="8">
        <f>C20*D20</f>
        <v/>
      </c>
      <c r="F20" s="3" t="inlineStr">
        <is>
          <t>Newest units pulled for rush installation</t>
        </is>
      </c>
    </row>
  </sheetData>
  <mergeCells count="2">
    <mergeCell ref="A10:F10"/>
    <mergeCell ref="A1:H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Q23"/>
  <sheetViews>
    <sheetView workbookViewId="0">
      <pane ySplit="8" topLeftCell="A9" activePane="bottomLeft" state="frozen"/>
      <selection pane="bottomLeft" activeCell="A1" sqref="A1"/>
    </sheetView>
  </sheetViews>
  <sheetFormatPr baseColWidth="8" defaultRowHeight="15"/>
  <cols>
    <col width="14" customWidth="1" min="1" max="1"/>
    <col width="14" customWidth="1" min="2" max="2"/>
    <col width="14" customWidth="1" min="3" max="3"/>
    <col width="12" customWidth="1" min="4" max="4"/>
    <col width="12" customWidth="1" min="5" max="5"/>
    <col width="13" customWidth="1" min="6" max="6"/>
    <col width="12" customWidth="1" min="7" max="7"/>
    <col width="13" customWidth="1" min="8" max="8"/>
    <col width="12" customWidth="1" min="9" max="9"/>
    <col width="13" customWidth="1" min="10" max="10"/>
    <col width="12" customWidth="1" min="11" max="11"/>
    <col width="13" customWidth="1" min="12" max="12"/>
    <col width="12" customWidth="1" min="13" max="13"/>
    <col width="15" customWidth="1" min="14" max="14"/>
    <col width="12" customWidth="1" min="15" max="15"/>
    <col width="15" customWidth="1" min="16" max="16"/>
    <col width="14" customWidth="1" min="17" max="17"/>
  </cols>
  <sheetData>
    <row r="1">
      <c r="A1" s="1" t="inlineStr">
        <is>
          <t>Layer-By-Layer Valuation</t>
        </is>
      </c>
    </row>
    <row r="2"/>
    <row r="3">
      <c r="A3" s="4" t="inlineStr">
        <is>
          <t>Shared Inputs</t>
        </is>
      </c>
    </row>
    <row r="4">
      <c r="A4" s="2" t="inlineStr">
        <is>
          <t>Total Units Sold</t>
        </is>
      </c>
      <c r="B4" s="3">
        <f>Inputs!$B$7</f>
        <v/>
      </c>
    </row>
    <row r="5">
      <c r="A5" s="2" t="inlineStr">
        <is>
          <t>GAFS Units</t>
        </is>
      </c>
      <c r="B5" s="3">
        <f>Inputs!$B$9</f>
        <v/>
      </c>
    </row>
    <row r="6">
      <c r="A6" s="2" t="inlineStr">
        <is>
          <t>GAFS Cost</t>
        </is>
      </c>
      <c r="B6" s="8">
        <f>Inputs!$B$10</f>
        <v/>
      </c>
    </row>
    <row r="7">
      <c r="A7" s="2" t="inlineStr">
        <is>
          <t>Revenue</t>
        </is>
      </c>
      <c r="B7" s="8">
        <f>Inputs!$B$8</f>
        <v/>
      </c>
    </row>
    <row r="8"/>
    <row r="9">
      <c r="A9" s="5" t="inlineStr">
        <is>
          <t>LotID</t>
        </is>
      </c>
      <c r="B9" s="5" t="inlineStr">
        <is>
          <t>Source</t>
        </is>
      </c>
      <c r="C9" s="5" t="inlineStr">
        <is>
          <t>ReceiptDate</t>
        </is>
      </c>
      <c r="D9" s="5" t="inlineStr">
        <is>
          <t>UnitsAvailable</t>
        </is>
      </c>
      <c r="E9" s="5" t="inlineStr">
        <is>
          <t>UnitCost</t>
        </is>
      </c>
      <c r="F9" s="5" t="inlineStr">
        <is>
          <t>FIFO Units Sold</t>
        </is>
      </c>
      <c r="G9" s="5" t="inlineStr">
        <is>
          <t>FIFO COGS</t>
        </is>
      </c>
      <c r="H9" s="5" t="inlineStr">
        <is>
          <t>FIFO Ending Units</t>
        </is>
      </c>
      <c r="I9" s="5" t="inlineStr">
        <is>
          <t>FIFO Ending Cost</t>
        </is>
      </c>
      <c r="J9" s="5" t="inlineStr">
        <is>
          <t>LIFO Units Sold</t>
        </is>
      </c>
      <c r="K9" s="5" t="inlineStr">
        <is>
          <t>LIFO COGS</t>
        </is>
      </c>
      <c r="L9" s="5" t="inlineStr">
        <is>
          <t>LIFO Ending Units</t>
        </is>
      </c>
      <c r="M9" s="5" t="inlineStr">
        <is>
          <t>LIFO Ending Cost</t>
        </is>
      </c>
      <c r="N9" s="5" t="inlineStr">
        <is>
          <t>Specific ID Units Sold</t>
        </is>
      </c>
      <c r="O9" s="5" t="inlineStr">
        <is>
          <t>Specific ID COGS</t>
        </is>
      </c>
      <c r="P9" s="5" t="inlineStr">
        <is>
          <t>Specific ID Ending Units</t>
        </is>
      </c>
      <c r="Q9" s="5" t="inlineStr">
        <is>
          <t>Specific ID Ending Cost</t>
        </is>
      </c>
    </row>
    <row r="10">
      <c r="A10" s="3">
        <f>BeginningInventory!$A$5</f>
        <v/>
      </c>
      <c r="B10" s="3" t="inlineStr">
        <is>
          <t>Beginning</t>
        </is>
      </c>
      <c r="C10" s="9">
        <f>BeginningInventory!$D$5</f>
        <v/>
      </c>
      <c r="D10" s="3">
        <f>BeginningInventory!$E$5</f>
        <v/>
      </c>
      <c r="E10" s="8">
        <f>BeginningInventory!$F$5</f>
        <v/>
      </c>
      <c r="F10" s="3">
        <f>MAX(0,MIN(D10,$B$4))</f>
        <v/>
      </c>
      <c r="G10" s="8">
        <f>F10*E10</f>
        <v/>
      </c>
      <c r="H10" s="3">
        <f>D10-F10</f>
        <v/>
      </c>
      <c r="I10" s="8">
        <f>H10*E10</f>
        <v/>
      </c>
      <c r="J10" s="3">
        <f>MAX(0,MIN(D10,$B$4-SUM($J$11:$J$14)))</f>
        <v/>
      </c>
      <c r="K10" s="8">
        <f>J10*E10</f>
        <v/>
      </c>
      <c r="L10" s="3">
        <f>D10-J10</f>
        <v/>
      </c>
      <c r="M10" s="8">
        <f>L10*E10</f>
        <v/>
      </c>
      <c r="N10" s="3">
        <f>SUMIF(Sales!$B$12:$B$20,A10,Sales!$C$12:$C$20)</f>
        <v/>
      </c>
      <c r="O10" s="8">
        <f>N10*E10</f>
        <v/>
      </c>
      <c r="P10" s="3">
        <f>D10-N10</f>
        <v/>
      </c>
      <c r="Q10" s="8">
        <f>P10*E10</f>
        <v/>
      </c>
    </row>
    <row r="11">
      <c r="A11" s="3">
        <f>Purchases!$A$5</f>
        <v/>
      </c>
      <c r="B11" s="3" t="inlineStr">
        <is>
          <t>Purchase</t>
        </is>
      </c>
      <c r="C11" s="9">
        <f>Purchases!$D$5</f>
        <v/>
      </c>
      <c r="D11" s="3">
        <f>Purchases!$E$5</f>
        <v/>
      </c>
      <c r="E11" s="8">
        <f>Purchases!$F$5</f>
        <v/>
      </c>
      <c r="F11" s="3">
        <f>MAX(0,MIN(D11,$B$4-SUM($F$10:F10)))</f>
        <v/>
      </c>
      <c r="G11" s="8">
        <f>F11*E11</f>
        <v/>
      </c>
      <c r="H11" s="3">
        <f>D11-F11</f>
        <v/>
      </c>
      <c r="I11" s="8">
        <f>H11*E11</f>
        <v/>
      </c>
      <c r="J11" s="3">
        <f>MAX(0,MIN(D11,$B$4-SUM($J$12:$J$14)))</f>
        <v/>
      </c>
      <c r="K11" s="8">
        <f>J11*E11</f>
        <v/>
      </c>
      <c r="L11" s="3">
        <f>D11-J11</f>
        <v/>
      </c>
      <c r="M11" s="8">
        <f>L11*E11</f>
        <v/>
      </c>
      <c r="N11" s="3">
        <f>SUMIF(Sales!$B$12:$B$20,A11,Sales!$C$12:$C$20)</f>
        <v/>
      </c>
      <c r="O11" s="8">
        <f>N11*E11</f>
        <v/>
      </c>
      <c r="P11" s="3">
        <f>D11-N11</f>
        <v/>
      </c>
      <c r="Q11" s="8">
        <f>P11*E11</f>
        <v/>
      </c>
    </row>
    <row r="12">
      <c r="A12" s="3">
        <f>Purchases!$A$6</f>
        <v/>
      </c>
      <c r="B12" s="3" t="inlineStr">
        <is>
          <t>Purchase</t>
        </is>
      </c>
      <c r="C12" s="9">
        <f>Purchases!$D$6</f>
        <v/>
      </c>
      <c r="D12" s="3">
        <f>Purchases!$E$6</f>
        <v/>
      </c>
      <c r="E12" s="8">
        <f>Purchases!$F$6</f>
        <v/>
      </c>
      <c r="F12" s="3">
        <f>MAX(0,MIN(D12,$B$4-SUM($F$10:F11)))</f>
        <v/>
      </c>
      <c r="G12" s="8">
        <f>F12*E12</f>
        <v/>
      </c>
      <c r="H12" s="3">
        <f>D12-F12</f>
        <v/>
      </c>
      <c r="I12" s="8">
        <f>H12*E12</f>
        <v/>
      </c>
      <c r="J12" s="3">
        <f>MAX(0,MIN(D12,$B$4-SUM($J$13:$J$14)))</f>
        <v/>
      </c>
      <c r="K12" s="8">
        <f>J12*E12</f>
        <v/>
      </c>
      <c r="L12" s="3">
        <f>D12-J12</f>
        <v/>
      </c>
      <c r="M12" s="8">
        <f>L12*E12</f>
        <v/>
      </c>
      <c r="N12" s="3">
        <f>SUMIF(Sales!$B$12:$B$20,A12,Sales!$C$12:$C$20)</f>
        <v/>
      </c>
      <c r="O12" s="8">
        <f>N12*E12</f>
        <v/>
      </c>
      <c r="P12" s="3">
        <f>D12-N12</f>
        <v/>
      </c>
      <c r="Q12" s="8">
        <f>P12*E12</f>
        <v/>
      </c>
    </row>
    <row r="13">
      <c r="A13" s="3">
        <f>Purchases!$A$7</f>
        <v/>
      </c>
      <c r="B13" s="3" t="inlineStr">
        <is>
          <t>Purchase</t>
        </is>
      </c>
      <c r="C13" s="9">
        <f>Purchases!$D$7</f>
        <v/>
      </c>
      <c r="D13" s="3">
        <f>Purchases!$E$7</f>
        <v/>
      </c>
      <c r="E13" s="8">
        <f>Purchases!$F$7</f>
        <v/>
      </c>
      <c r="F13" s="3">
        <f>MAX(0,MIN(D13,$B$4-SUM($F$10:F12)))</f>
        <v/>
      </c>
      <c r="G13" s="8">
        <f>F13*E13</f>
        <v/>
      </c>
      <c r="H13" s="3">
        <f>D13-F13</f>
        <v/>
      </c>
      <c r="I13" s="8">
        <f>H13*E13</f>
        <v/>
      </c>
      <c r="J13" s="3">
        <f>MAX(0,MIN(D13,$B$4-SUM($J$14:$J$14)))</f>
        <v/>
      </c>
      <c r="K13" s="8">
        <f>J13*E13</f>
        <v/>
      </c>
      <c r="L13" s="3">
        <f>D13-J13</f>
        <v/>
      </c>
      <c r="M13" s="8">
        <f>L13*E13</f>
        <v/>
      </c>
      <c r="N13" s="3">
        <f>SUMIF(Sales!$B$12:$B$20,A13,Sales!$C$12:$C$20)</f>
        <v/>
      </c>
      <c r="O13" s="8">
        <f>N13*E13</f>
        <v/>
      </c>
      <c r="P13" s="3">
        <f>D13-N13</f>
        <v/>
      </c>
      <c r="Q13" s="8">
        <f>P13*E13</f>
        <v/>
      </c>
    </row>
    <row r="14">
      <c r="A14" s="3">
        <f>Purchases!$A$8</f>
        <v/>
      </c>
      <c r="B14" s="3" t="inlineStr">
        <is>
          <t>Purchase</t>
        </is>
      </c>
      <c r="C14" s="9">
        <f>Purchases!$D$8</f>
        <v/>
      </c>
      <c r="D14" s="3">
        <f>Purchases!$E$8</f>
        <v/>
      </c>
      <c r="E14" s="8">
        <f>Purchases!$F$8</f>
        <v/>
      </c>
      <c r="F14" s="3">
        <f>MAX(0,MIN(D14,$B$4-SUM($F$10:F13)))</f>
        <v/>
      </c>
      <c r="G14" s="8">
        <f>F14*E14</f>
        <v/>
      </c>
      <c r="H14" s="3">
        <f>D14-F14</f>
        <v/>
      </c>
      <c r="I14" s="8">
        <f>H14*E14</f>
        <v/>
      </c>
      <c r="J14" s="3">
        <f>MAX(0,MIN(D14,$B$4))</f>
        <v/>
      </c>
      <c r="K14" s="8">
        <f>J14*E14</f>
        <v/>
      </c>
      <c r="L14" s="3">
        <f>D14-J14</f>
        <v/>
      </c>
      <c r="M14" s="8">
        <f>L14*E14</f>
        <v/>
      </c>
      <c r="N14" s="3">
        <f>SUMIF(Sales!$B$12:$B$20,A14,Sales!$C$12:$C$20)</f>
        <v/>
      </c>
      <c r="O14" s="8">
        <f>N14*E14</f>
        <v/>
      </c>
      <c r="P14" s="3">
        <f>D14-N14</f>
        <v/>
      </c>
      <c r="Q14" s="8">
        <f>P14*E14</f>
        <v/>
      </c>
    </row>
    <row r="15"/>
    <row r="16"/>
    <row r="17">
      <c r="A17" s="4" t="inlineStr">
        <is>
          <t>Weighted Average Block</t>
        </is>
      </c>
    </row>
    <row r="18">
      <c r="A18" s="10" t="inlineStr">
        <is>
          <t>Average Unit Cost</t>
        </is>
      </c>
      <c r="B18" s="11">
        <f>B6/B5</f>
        <v/>
      </c>
    </row>
    <row r="19">
      <c r="A19" s="10" t="inlineStr">
        <is>
          <t>Units Sold</t>
        </is>
      </c>
      <c r="B19" s="12">
        <f>B4</f>
        <v/>
      </c>
    </row>
    <row r="20">
      <c r="A20" s="10" t="inlineStr">
        <is>
          <t>Weighted Avg COGS</t>
        </is>
      </c>
      <c r="B20" s="11">
        <f>B18*B19</f>
        <v/>
      </c>
    </row>
    <row r="21">
      <c r="A21" s="10" t="inlineStr">
        <is>
          <t>Ending Units</t>
        </is>
      </c>
      <c r="B21" s="12">
        <f>B5-B19</f>
        <v/>
      </c>
    </row>
    <row r="22">
      <c r="A22" s="10" t="inlineStr">
        <is>
          <t>Weighted Avg Ending Inventory</t>
        </is>
      </c>
      <c r="B22" s="11">
        <f>B18*B21</f>
        <v/>
      </c>
    </row>
    <row r="23">
      <c r="A23" s="10" t="inlineStr">
        <is>
          <t>Balance Check</t>
        </is>
      </c>
      <c r="B23" s="11">
        <f>B20+B22</f>
        <v/>
      </c>
    </row>
  </sheetData>
  <mergeCells count="3">
    <mergeCell ref="A17:D17"/>
    <mergeCell ref="A1:Q1"/>
    <mergeCell ref="A3:D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16" customWidth="1" min="5" max="5"/>
    <col width="15" customWidth="1" min="6" max="6"/>
    <col width="14" customWidth="1" min="7" max="7"/>
    <col width="15" customWidth="1" min="8" max="8"/>
    <col width="12" customWidth="1" min="9" max="9"/>
    <col width="14" customWidth="1" min="10" max="10"/>
    <col width="28" customWidth="1" min="11" max="11"/>
  </cols>
  <sheetData>
    <row r="1">
      <c r="A1" s="1" t="inlineStr">
        <is>
          <t>Method Comparison</t>
        </is>
      </c>
    </row>
    <row r="2"/>
    <row r="3"/>
    <row r="4">
      <c r="A4" s="5" t="inlineStr">
        <is>
          <t>Method</t>
        </is>
      </c>
      <c r="B4" s="5" t="inlineStr">
        <is>
          <t>Units Sold</t>
        </is>
      </c>
      <c r="C4" s="5" t="inlineStr">
        <is>
          <t>Revenue</t>
        </is>
      </c>
      <c r="D4" s="5" t="inlineStr">
        <is>
          <t>COGS</t>
        </is>
      </c>
      <c r="E4" s="5" t="inlineStr">
        <is>
          <t>Ending Inventory</t>
        </is>
      </c>
      <c r="F4" s="5" t="inlineStr">
        <is>
          <t>Gross Margin $</t>
        </is>
      </c>
      <c r="G4" s="5" t="inlineStr">
        <is>
          <t>Gross Margin %</t>
        </is>
      </c>
      <c r="H4" s="5" t="inlineStr">
        <is>
          <t>Avg Inventory</t>
        </is>
      </c>
      <c r="I4" s="5" t="inlineStr">
        <is>
          <t>Turnover</t>
        </is>
      </c>
      <c r="J4" s="5" t="inlineStr">
        <is>
          <t>Days On Hand</t>
        </is>
      </c>
      <c r="K4" s="5" t="inlineStr">
        <is>
          <t>Reading</t>
        </is>
      </c>
    </row>
    <row r="5">
      <c r="A5" s="3" t="inlineStr">
        <is>
          <t>FIFO</t>
        </is>
      </c>
      <c r="B5" s="3">
        <f>Inputs!$B$7</f>
        <v/>
      </c>
      <c r="C5" s="8">
        <f>Inputs!$B$8</f>
        <v/>
      </c>
      <c r="D5" s="8">
        <f>SUM(Valuation!$G$10:$G$14)</f>
        <v/>
      </c>
      <c r="E5" s="8">
        <f>SUM(Valuation!$I$10:$I$14)</f>
        <v/>
      </c>
      <c r="F5" s="8">
        <f>C5-D5</f>
        <v/>
      </c>
      <c r="G5" s="13">
        <f>IFERROR(F5/C5,0)</f>
        <v/>
      </c>
      <c r="H5" s="8">
        <f>(Inputs!$B$11+E5)/2</f>
        <v/>
      </c>
      <c r="I5" s="14">
        <f>IFERROR(D5/H5,0)</f>
        <v/>
      </c>
      <c r="J5" s="14">
        <f>IFERROR(365/I5,0)</f>
        <v/>
      </c>
      <c r="K5" s="3" t="inlineStr">
        <is>
          <t>Highest margin, slowest turnover</t>
        </is>
      </c>
    </row>
    <row r="6">
      <c r="A6" s="3" t="inlineStr">
        <is>
          <t>LIFO</t>
        </is>
      </c>
      <c r="B6" s="3">
        <f>Inputs!$B$7</f>
        <v/>
      </c>
      <c r="C6" s="8">
        <f>Inputs!$B$8</f>
        <v/>
      </c>
      <c r="D6" s="8">
        <f>SUM(Valuation!$K$10:$K$14)</f>
        <v/>
      </c>
      <c r="E6" s="8">
        <f>SUM(Valuation!$M$10:$M$14)</f>
        <v/>
      </c>
      <c r="F6" s="8">
        <f>C6-D6</f>
        <v/>
      </c>
      <c r="G6" s="13">
        <f>IFERROR(F6/C6,0)</f>
        <v/>
      </c>
      <c r="H6" s="8">
        <f>(Inputs!$B$11+E6)/2</f>
        <v/>
      </c>
      <c r="I6" s="14">
        <f>IFERROR(D6/H6,0)</f>
        <v/>
      </c>
      <c r="J6" s="14">
        <f>IFERROR(365/I6,0)</f>
        <v/>
      </c>
      <c r="K6" s="3" t="inlineStr">
        <is>
          <t>Lowest margin, fastest turnover</t>
        </is>
      </c>
    </row>
    <row r="7">
      <c r="A7" s="3" t="inlineStr">
        <is>
          <t>Weighted Average</t>
        </is>
      </c>
      <c r="B7" s="3">
        <f>Inputs!$B$7</f>
        <v/>
      </c>
      <c r="C7" s="8">
        <f>Inputs!$B$8</f>
        <v/>
      </c>
      <c r="D7" s="8">
        <f>Valuation!$B$20</f>
        <v/>
      </c>
      <c r="E7" s="8">
        <f>Valuation!$B$22</f>
        <v/>
      </c>
      <c r="F7" s="8">
        <f>C7-D7</f>
        <v/>
      </c>
      <c r="G7" s="13">
        <f>IFERROR(F7/C7,0)</f>
        <v/>
      </c>
      <c r="H7" s="8">
        <f>(Inputs!$B$11+E7)/2</f>
        <v/>
      </c>
      <c r="I7" s="14">
        <f>IFERROR(D7/H7,0)</f>
        <v/>
      </c>
      <c r="J7" s="14">
        <f>IFERROR(365/I7,0)</f>
        <v/>
      </c>
      <c r="K7" s="3" t="inlineStr">
        <is>
          <t>Balanced middle-ground view</t>
        </is>
      </c>
    </row>
    <row r="8">
      <c r="A8" s="3" t="inlineStr">
        <is>
          <t>Specific ID</t>
        </is>
      </c>
      <c r="B8" s="3">
        <f>Inputs!$B$7</f>
        <v/>
      </c>
      <c r="C8" s="8">
        <f>Inputs!$B$8</f>
        <v/>
      </c>
      <c r="D8" s="8">
        <f>SUM(Valuation!$O$10:$O$14)</f>
        <v/>
      </c>
      <c r="E8" s="8">
        <f>SUM(Valuation!$Q$10:$Q$14)</f>
        <v/>
      </c>
      <c r="F8" s="8">
        <f>C8-D8</f>
        <v/>
      </c>
      <c r="G8" s="13">
        <f>IFERROR(F8/C8,0)</f>
        <v/>
      </c>
      <c r="H8" s="8">
        <f>(Inputs!$B$11+E8)/2</f>
        <v/>
      </c>
      <c r="I8" s="14">
        <f>IFERROR(D8/H8,0)</f>
        <v/>
      </c>
      <c r="J8" s="14">
        <f>IFERROR(365/I8,0)</f>
        <v/>
      </c>
      <c r="K8" s="3" t="inlineStr">
        <is>
          <t>Precise but harder to scale</t>
        </is>
      </c>
    </row>
    <row r="9"/>
    <row r="10"/>
    <row r="11">
      <c r="A11" s="4" t="inlineStr">
        <is>
          <t>Transfer Prompt</t>
        </is>
      </c>
    </row>
    <row r="12">
      <c r="A12" s="15" t="inlineStr">
        <is>
          <t>If you had to defend one method in a project meeting, which row gives the clearest claim and what tradeoff would you have to explain?</t>
        </is>
      </c>
    </row>
    <row r="13"/>
  </sheetData>
  <mergeCells count="3">
    <mergeCell ref="A11:E11"/>
    <mergeCell ref="A1:K1"/>
    <mergeCell ref="A12:F13"/>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22" customWidth="1" min="1" max="1"/>
    <col width="42" customWidth="1" min="2" max="2"/>
    <col width="20" customWidth="1" min="3" max="3"/>
    <col width="48" customWidth="1" min="4" max="4"/>
  </cols>
  <sheetData>
    <row r="1">
      <c r="A1" s="1" t="inlineStr">
        <is>
          <t>Validation And Readiness Checks</t>
        </is>
      </c>
    </row>
    <row r="2"/>
    <row r="3"/>
    <row r="4">
      <c r="A4" s="5" t="inlineStr">
        <is>
          <t>Check</t>
        </is>
      </c>
      <c r="B4" s="5" t="inlineStr">
        <is>
          <t>What It Verifies</t>
        </is>
      </c>
      <c r="C4" s="5" t="inlineStr">
        <is>
          <t>Status</t>
        </is>
      </c>
      <c r="D4" s="5" t="inlineStr">
        <is>
          <t>Meaning</t>
        </is>
      </c>
    </row>
    <row r="5">
      <c r="A5" s="3" t="inlineStr">
        <is>
          <t>Missing SKU</t>
        </is>
      </c>
      <c r="B5" s="3" t="inlineStr">
        <is>
          <t>Every data sheet has a SKU entered.</t>
        </is>
      </c>
      <c r="C5" s="3">
        <f>IF(COUNTBLANK(BeginningInventory!$B$5)+COUNTBLANK(Purchases!$C$5:$C$8)+COUNTBLANK(Sales!$B$5:$B$7)=0,"OK","Check SKU entry")</f>
        <v/>
      </c>
      <c r="D5" s="3" t="inlineStr">
        <is>
          <t>Stops orphaned rows before totals roll up.</t>
        </is>
      </c>
    </row>
    <row r="6">
      <c r="A6" s="3" t="inlineStr">
        <is>
          <t>Invalid Unit Cost</t>
        </is>
      </c>
      <c r="B6" s="3" t="inlineStr">
        <is>
          <t>No zero or negative purchase costs appear.</t>
        </is>
      </c>
      <c r="C6" s="3">
        <f>IF(COUNTIF(BeginningInventory!$F$5:$F$5,"&lt;=0")+COUNTIF(Purchases!$F$5:$F$8,"&lt;=0")=0,"OK","Invalid unit cost")</f>
        <v/>
      </c>
      <c r="D6" s="3" t="inlineStr">
        <is>
          <t>Protects COGS and ending inventory math.</t>
        </is>
      </c>
    </row>
    <row r="7">
      <c r="A7" s="3" t="inlineStr">
        <is>
          <t>Sales vs Supply</t>
        </is>
      </c>
      <c r="B7" s="3" t="inlineStr">
        <is>
          <t>Units sold do not exceed goods available.</t>
        </is>
      </c>
      <c r="C7" s="3">
        <f>IF(Inputs!$B$7&lt;=Inputs!$B$9,"OK","Sales exceed supply")</f>
        <v/>
      </c>
      <c r="D7" s="3" t="inlineStr">
        <is>
          <t>Prevents impossible inventory positions.</t>
        </is>
      </c>
    </row>
    <row r="8">
      <c r="A8" s="3" t="inlineStr">
        <is>
          <t>FIFO Balance</t>
        </is>
      </c>
      <c r="B8" s="3" t="inlineStr">
        <is>
          <t>FIFO COGS + ending inventory = GAFS.</t>
        </is>
      </c>
      <c r="C8" s="3">
        <f>IF(ABS(SUM(Valuation!$G$10:$G$14)+SUM(Valuation!$I$10:$I$14)-Inputs!$B$10)&lt;0.01,"OK","GAFS mismatch")</f>
        <v/>
      </c>
      <c r="D8" s="3" t="inlineStr">
        <is>
          <t>Confirms FIFO layer math.</t>
        </is>
      </c>
    </row>
    <row r="9">
      <c r="A9" s="3" t="inlineStr">
        <is>
          <t>LIFO Balance</t>
        </is>
      </c>
      <c r="B9" s="3" t="inlineStr">
        <is>
          <t>LIFO COGS + ending inventory = GAFS.</t>
        </is>
      </c>
      <c r="C9" s="3">
        <f>IF(ABS(SUM(Valuation!$K$10:$K$14)+SUM(Valuation!$M$10:$M$14)-Inputs!$B$10)&lt;0.01,"OK","GAFS mismatch")</f>
        <v/>
      </c>
      <c r="D9" s="3" t="inlineStr">
        <is>
          <t>Confirms LIFO layer math.</t>
        </is>
      </c>
    </row>
    <row r="10">
      <c r="A10" s="3" t="inlineStr">
        <is>
          <t>Weighted Avg Balance</t>
        </is>
      </c>
      <c r="B10" s="3" t="inlineStr">
        <is>
          <t>Weighted Average totals reconcile.</t>
        </is>
      </c>
      <c r="C10" s="3">
        <f>IF(ABS(Valuation!$B$20+Valuation!$B$22-Inputs!$B$10)&lt;0.01,"OK","GAFS mismatch")</f>
        <v/>
      </c>
      <c r="D10" s="3" t="inlineStr">
        <is>
          <t>Confirms average-cost block.</t>
        </is>
      </c>
    </row>
    <row r="11">
      <c r="A11" s="3" t="inlineStr">
        <is>
          <t>Specific ID Balance</t>
        </is>
      </c>
      <c r="B11" s="3" t="inlineStr">
        <is>
          <t>Specific ID totals reconcile to GAFS.</t>
        </is>
      </c>
      <c r="C11" s="3">
        <f>IF(ABS(SUM(Valuation!$O$10:$O$14)+SUM(Valuation!$Q$10:$Q$14)-Inputs!$B$10)&lt;0.01,"OK","GAFS mismatch")</f>
        <v/>
      </c>
      <c r="D11" s="3" t="inlineStr">
        <is>
          <t>Confirms assignment log ties back to cost layers.</t>
        </is>
      </c>
    </row>
    <row r="12">
      <c r="A12" s="3" t="inlineStr">
        <is>
          <t>Assignment Total</t>
        </is>
      </c>
      <c r="B12" s="3" t="inlineStr">
        <is>
          <t>Specific ID assignments match units sold.</t>
        </is>
      </c>
      <c r="C12" s="3">
        <f>IF(SUM(Sales!$C$12:$C$20)=Inputs!$B$7,"OK","Assignment mismatch")</f>
        <v/>
      </c>
      <c r="D12" s="3" t="inlineStr">
        <is>
          <t>Catches missing or duplicate lot assignments.</t>
        </is>
      </c>
    </row>
    <row r="13">
      <c r="A13" s="3" t="inlineStr">
        <is>
          <t>Lot Capacity</t>
        </is>
      </c>
      <c r="B13" s="3" t="inlineStr">
        <is>
          <t>Specific ID assignments do not overuse any lot.</t>
        </is>
      </c>
      <c r="C13" s="3">
        <f>IF(MIN(Valuation!$P$10:$P$14)&gt;=0,"OK","Lot over-assigned")</f>
        <v/>
      </c>
      <c r="D13" s="3" t="inlineStr">
        <is>
          <t>Prevents negative units remaining.</t>
        </is>
      </c>
    </row>
    <row r="14">
      <c r="A14" s="3" t="inlineStr">
        <is>
          <t>Dashboard Snapshot</t>
        </is>
      </c>
      <c r="B14" s="3" t="inlineStr">
        <is>
          <t>Dashboard selected-method cells are all linked.</t>
        </is>
      </c>
      <c r="C14" s="3">
        <f>IF(COUNTA(Dashboard!$C$4:$C$10)=7,"OK","Finish dashboard links")</f>
        <v/>
      </c>
      <c r="D14" s="3" t="inlineStr">
        <is>
          <t>Prepares the workbook for investor reading.</t>
        </is>
      </c>
    </row>
    <row r="15">
      <c r="A15" s="3" t="inlineStr">
        <is>
          <t>Recommendation Draft</t>
        </is>
      </c>
      <c r="B15" s="3" t="inlineStr">
        <is>
          <t>Recommendation has claim, evidence, comparison, risk, and final defense.</t>
        </is>
      </c>
      <c r="C15" s="3">
        <f>IF(AND(LEN(Recommendation!$B$7)&gt;0,LEN(Recommendation!$B$8)&gt;0,LEN(Recommendation!$B$9)&gt;0,LEN(Recommendation!$B$10)&gt;0,LEN(Recommendation!$B$11)&gt;0,LEN(Recommendation!$B$12)&gt;0),"OK","Finish recommendation")</f>
        <v/>
      </c>
      <c r="D15" s="3" t="inlineStr">
        <is>
          <t>Confirms the evidence chain reaches the final claim.</t>
        </is>
      </c>
    </row>
    <row r="16">
      <c r="A16" s="3" t="inlineStr">
        <is>
          <t>Date Freshness</t>
        </is>
      </c>
      <c r="B16" s="3" t="inlineStr">
        <is>
          <t>Transactions sit inside one active January window.</t>
        </is>
      </c>
      <c r="C16" s="3">
        <f>IF(MAX(BeginningInventory!$D$5,Purchases!$D$5,Purchases!$D$6,Purchases!$D$7,Purchases!$D$8,Sales!$C$5,Sales!$C$6,Sales!$C$7)-MIN(BeginningInventory!$D$5,Purchases!$D$5,Purchases!$D$6,Purchases!$D$7,Purchases!$D$8,Sales!$C$5,Sales!$C$6,Sales!$C$7)&lt;=60,"OK","Check stale dates")</f>
        <v/>
      </c>
      <c r="D16" s="3" t="inlineStr">
        <is>
          <t>Flags old dates before lessons 08-10 use new datasets.</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2" max="2"/>
    <col width="26" customWidth="1" min="3" max="3"/>
    <col width="4" customWidth="1" min="4" max="4"/>
    <col width="16" customWidth="1" min="5" max="5"/>
    <col width="16" customWidth="1" min="6" max="6"/>
    <col width="16" customWidth="1" min="7" max="7"/>
    <col width="16" customWidth="1" min="8" max="8"/>
  </cols>
  <sheetData>
    <row r="1">
      <c r="A1" s="1" t="inlineStr">
        <is>
          <t>Investor Snapshot Dashboard</t>
        </is>
      </c>
    </row>
    <row r="2"/>
    <row r="3">
      <c r="A3" s="4" t="inlineStr">
        <is>
          <t>Selected Method Snapshot</t>
        </is>
      </c>
    </row>
    <row r="4">
      <c r="B4" s="10" t="inlineStr">
        <is>
          <t>Selected Method</t>
        </is>
      </c>
      <c r="C4" s="12">
        <f>Inputs!$B$5</f>
        <v/>
      </c>
    </row>
    <row r="5">
      <c r="B5" s="10" t="inlineStr">
        <is>
          <t>Revenue</t>
        </is>
      </c>
      <c r="C5" s="11">
        <f>INDEX(MethodCompare!$C$5:$C$8,MATCH(Inputs!$B$5,MethodCompare!$A$5:$A$8,0))</f>
        <v/>
      </c>
    </row>
    <row r="6">
      <c r="B6" s="10" t="inlineStr">
        <is>
          <t>COGS</t>
        </is>
      </c>
      <c r="C6" s="11">
        <f>INDEX(MethodCompare!$D$5:$D$8,MATCH(Inputs!$B$5,MethodCompare!$A$5:$A$8,0))</f>
        <v/>
      </c>
    </row>
    <row r="7">
      <c r="B7" s="10" t="inlineStr">
        <is>
          <t>Ending Inventory</t>
        </is>
      </c>
      <c r="C7" s="11">
        <f>INDEX(MethodCompare!$E$5:$E$8,MATCH(Inputs!$B$5,MethodCompare!$A$5:$A$8,0))</f>
        <v/>
      </c>
    </row>
    <row r="8">
      <c r="B8" s="10" t="inlineStr">
        <is>
          <t>Gross Margin %</t>
        </is>
      </c>
      <c r="C8" s="16">
        <f>INDEX(MethodCompare!$G$5:$G$8,MATCH(Inputs!$B$5,MethodCompare!$A$5:$A$8,0))</f>
        <v/>
      </c>
    </row>
    <row r="9">
      <c r="B9" s="10" t="inlineStr">
        <is>
          <t>Turnover</t>
        </is>
      </c>
      <c r="C9" s="17">
        <f>INDEX(MethodCompare!$I$5:$I$8,MATCH(Inputs!$B$5,MethodCompare!$A$5:$A$8,0))</f>
        <v/>
      </c>
    </row>
    <row r="10">
      <c r="B10" s="10" t="inlineStr">
        <is>
          <t>Days On Hand</t>
        </is>
      </c>
      <c r="C10" s="17">
        <f>INDEX(MethodCompare!$J$5:$J$8,MATCH(Inputs!$B$5,MethodCompare!$A$5:$A$8,0))</f>
        <v/>
      </c>
    </row>
    <row r="11"/>
    <row r="12">
      <c r="A12" s="4" t="inlineStr">
        <is>
          <t>Workbook Status</t>
        </is>
      </c>
    </row>
    <row r="13">
      <c r="B13" s="18" t="inlineStr">
        <is>
          <t>Open Checks</t>
        </is>
      </c>
      <c r="C13" s="12">
        <f>COUNTIF(Checks!$C$5:$C$16,"&lt;&gt;OK")</f>
        <v/>
      </c>
    </row>
    <row r="14">
      <c r="B14" s="18" t="inlineStr">
        <is>
          <t>Peer Audit Ready?</t>
        </is>
      </c>
      <c r="C14" s="12">
        <f>IF(C13=0,"Yes","Not yet")</f>
        <v/>
      </c>
    </row>
    <row r="15">
      <c r="B15" s="18" t="inlineStr">
        <is>
          <t>Teacher Move</t>
        </is>
      </c>
      <c r="C15" s="3" t="inlineStr">
        <is>
          <t>Use the open checks to decide which weak spot gets fixed first.</t>
        </is>
      </c>
    </row>
    <row r="16"/>
    <row r="17">
      <c r="B17" s="19" t="inlineStr">
        <is>
          <t>Student task</t>
        </is>
      </c>
      <c r="C17" s="15" t="inlineStr">
        <is>
          <t>Use INDEX/MATCH from MethodCompare so the selected method snapshot updates cleanly.</t>
        </is>
      </c>
    </row>
  </sheetData>
  <mergeCells count="3">
    <mergeCell ref="A12:D12"/>
    <mergeCell ref="A3:D3"/>
    <mergeCell ref="A1:H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32" customWidth="1" min="1" max="1"/>
    <col width="92" customWidth="1" min="2" max="2"/>
    <col width="18" customWidth="1" min="3" max="3"/>
  </cols>
  <sheetData>
    <row r="1">
      <c r="A1" s="1" t="inlineStr">
        <is>
          <t>Recommendation Sheet</t>
        </is>
      </c>
    </row>
    <row r="2"/>
    <row r="3">
      <c r="A3" s="4" t="inlineStr">
        <is>
          <t>Claim + Evidence + Risk</t>
        </is>
      </c>
    </row>
    <row r="4"/>
    <row r="5">
      <c r="A5" s="10" t="inlineStr">
        <is>
          <t>Recommended Method</t>
        </is>
      </c>
      <c r="B5" s="12">
        <f>Inputs!$B$5</f>
        <v/>
      </c>
    </row>
    <row r="6"/>
    <row r="7">
      <c r="A7" s="10" t="inlineStr">
        <is>
          <t>Claim</t>
        </is>
      </c>
      <c r="B7" s="3" t="inlineStr">
        <is>
          <t>Weighted Average is the most defensible method for this rehearsal because it balances profitability with a believable inventory story for identical products.</t>
        </is>
      </c>
    </row>
    <row r="8">
      <c r="A8" s="10" t="inlineStr">
        <is>
          <t>Evidence 1 - Cost + ending inventory</t>
        </is>
      </c>
      <c r="B8" s="3" t="inlineStr">
        <is>
          <t>It produces COGS of $3,631.13 and ending inventory of $2,683.88, which keeps the workbook in balance with GAFS of $6,315.00.</t>
        </is>
      </c>
    </row>
    <row r="9">
      <c r="A9" s="10" t="inlineStr">
        <is>
          <t>Evidence 2 - Turnover + days on hand</t>
        </is>
      </c>
      <c r="B9" s="3" t="inlineStr">
        <is>
          <t>Its gross margin is 42.8% with turnover of 1.78x and about 205.3 days on hand, giving TechStart a middle-ground operating picture.</t>
        </is>
      </c>
    </row>
    <row r="10">
      <c r="A10" s="10" t="inlineStr">
        <is>
          <t>Comparison to another method</t>
        </is>
      </c>
      <c r="B10" s="3" t="inlineStr">
        <is>
          <t>Compared with FIFO's 46.5% gross margin and LIFO's 181.8 days on hand, Weighted Average avoids the highest-profit story without dropping to the lowest-margin position.</t>
        </is>
      </c>
    </row>
    <row r="11">
      <c r="A11" s="10" t="inlineStr">
        <is>
          <t>Risk / Limitation</t>
        </is>
      </c>
      <c r="B11" s="3" t="inlineStr">
        <is>
          <t>Weighted Average smooths rising purchase costs, so managers may underreact to how quickly replacement costs are climbing.</t>
        </is>
      </c>
    </row>
    <row r="12">
      <c r="A12" s="10" t="inlineStr">
        <is>
          <t>Final Recommendation</t>
        </is>
      </c>
      <c r="B12" s="3" t="inlineStr">
        <is>
          <t>Recommend Weighted Average for the rehearsal because the numbers are traceable, the method fits identical units, and the tradeoff story is easier to defend than Specific ID or an extreme FIFO/LIFO choice.</t>
        </is>
      </c>
    </row>
    <row r="13"/>
    <row r="14">
      <c r="A14" s="19" t="inlineStr">
        <is>
          <t>Transfer reminder</t>
        </is>
      </c>
      <c r="B14" s="15" t="inlineStr">
        <is>
          <t>In Lessons 08-10, the sheet structure stays the same but your team must rebuild it with a different dataset and no teacher model.</t>
        </is>
      </c>
    </row>
  </sheetData>
  <mergeCells count="2">
    <mergeCell ref="A1:F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2026-04-07T07:54:16Z</dcterms:created>
  <dcterms:modified xmlns:dcterms="http://purl.org/dc/terms/" xmlns:xsi="http://www.w3.org/2001/XMLSchema-instance" xsi:type="dcterms:W3CDTF">2026-04-07T07:54:16Z</dcterms:modified>
</cp:coreProperties>
</file>