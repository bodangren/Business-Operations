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 Register" sheetId="1" state="visible" r:id="rId1"/>
    <sheet xmlns:r="http://schemas.openxmlformats.org/officeDocument/2006/relationships" name="Depreciation Schedule" sheetId="2" state="visible" r:id="rId2"/>
    <sheet xmlns:r="http://schemas.openxmlformats.org/officeDocument/2006/relationships" name="Method Comparison" sheetId="3" state="visible" r:id="rId3"/>
    <sheet xmlns:r="http://schemas.openxmlformats.org/officeDocument/2006/relationships" name="Recommen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DBEAFE"/>
      </patternFill>
    </fill>
    <fill>
      <patternFill patternType="solid">
        <fgColor rgb="00E2E8F0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14" customWidth="1" min="3" max="3"/>
    <col width="12" customWidth="1" min="4" max="4"/>
    <col width="14" customWidth="1" min="5" max="5"/>
    <col width="10" customWidth="1" min="6" max="6"/>
    <col width="14" customWidth="1" min="7" max="7"/>
    <col width="16" customWidth="1" min="8" max="8"/>
  </cols>
  <sheetData>
    <row r="1">
      <c r="A1" s="1" t="inlineStr">
        <is>
          <t>Asset Register</t>
        </is>
      </c>
    </row>
    <row r="3">
      <c r="A3" s="2" t="inlineStr">
        <is>
          <t>Asset ID</t>
        </is>
      </c>
      <c r="B3" s="2" t="inlineStr">
        <is>
          <t>Description</t>
        </is>
      </c>
      <c r="C3" s="2" t="inlineStr">
        <is>
          <t>Cost</t>
        </is>
      </c>
      <c r="D3" s="2" t="inlineStr">
        <is>
          <t>Useful Life</t>
        </is>
      </c>
      <c r="E3" s="2" t="inlineStr">
        <is>
          <t>Salvage Value</t>
        </is>
      </c>
      <c r="F3" s="2" t="inlineStr">
        <is>
          <t>Method</t>
        </is>
      </c>
      <c r="G3" s="2" t="inlineStr">
        <is>
          <t>Purchase Date</t>
        </is>
      </c>
      <c r="H3" s="2" t="inlineStr">
        <is>
          <t>Depreciable Base</t>
        </is>
      </c>
    </row>
    <row r="4">
      <c r="A4" s="3" t="inlineStr">
        <is>
          <t>A001</t>
        </is>
      </c>
      <c r="B4" s="3" t="inlineStr">
        <is>
          <t>Espresso Machine - La Marzocco KB90</t>
        </is>
      </c>
      <c r="C4" s="4" t="n">
        <v>12500</v>
      </c>
      <c r="D4" s="3" t="n">
        <v>7</v>
      </c>
      <c r="E4" s="4" t="n">
        <v>1500</v>
      </c>
      <c r="F4" s="3" t="inlineStr">
        <is>
          <t>SL</t>
        </is>
      </c>
      <c r="G4" s="3" t="inlineStr">
        <is>
          <t>2025-01-15</t>
        </is>
      </c>
      <c r="H4" s="4">
        <f>C4-E4</f>
        <v/>
      </c>
    </row>
    <row r="5">
      <c r="A5" s="3" t="inlineStr">
        <is>
          <t>A002</t>
        </is>
      </c>
      <c r="B5" s="3" t="inlineStr">
        <is>
          <t>Espresso Machine - La Marzocco KB90</t>
        </is>
      </c>
      <c r="C5" s="4" t="n">
        <v>12500</v>
      </c>
      <c r="D5" s="3" t="n">
        <v>7</v>
      </c>
      <c r="E5" s="4" t="n">
        <v>1500</v>
      </c>
      <c r="F5" s="3" t="inlineStr">
        <is>
          <t>SL</t>
        </is>
      </c>
      <c r="G5" s="3" t="inlineStr">
        <is>
          <t>2025-02-01</t>
        </is>
      </c>
      <c r="H5" s="4">
        <f>C5-E5</f>
        <v/>
      </c>
    </row>
    <row r="6">
      <c r="A6" s="3" t="inlineStr">
        <is>
          <t>A003</t>
        </is>
      </c>
      <c r="B6" s="3" t="inlineStr">
        <is>
          <t>Espresso Machine - La Marzocco Linea Mini</t>
        </is>
      </c>
      <c r="C6" s="4" t="n">
        <v>6500</v>
      </c>
      <c r="D6" s="3" t="n">
        <v>7</v>
      </c>
      <c r="E6" s="4" t="n">
        <v>800</v>
      </c>
      <c r="F6" s="3" t="inlineStr">
        <is>
          <t>SL</t>
        </is>
      </c>
      <c r="G6" s="3" t="inlineStr">
        <is>
          <t>2025-03-10</t>
        </is>
      </c>
      <c r="H6" s="4">
        <f>C6-E6</f>
        <v/>
      </c>
    </row>
    <row r="7">
      <c r="A7" s="3" t="inlineStr">
        <is>
          <t>A004</t>
        </is>
      </c>
      <c r="B7" s="3" t="inlineStr">
        <is>
          <t>Refrigerated Display Case - 6ft</t>
        </is>
      </c>
      <c r="C7" s="4" t="n">
        <v>4200</v>
      </c>
      <c r="D7" s="3" t="n">
        <v>10</v>
      </c>
      <c r="E7" s="4" t="n">
        <v>500</v>
      </c>
      <c r="F7" s="3" t="inlineStr">
        <is>
          <t>SL</t>
        </is>
      </c>
      <c r="G7" s="3" t="inlineStr">
        <is>
          <t>2025-01-20</t>
        </is>
      </c>
      <c r="H7" s="4">
        <f>C7-E7</f>
        <v/>
      </c>
    </row>
    <row r="8">
      <c r="A8" s="3" t="inlineStr">
        <is>
          <t>A005</t>
        </is>
      </c>
      <c r="B8" s="3" t="inlineStr">
        <is>
          <t>Refrigerated Display Case - 6ft</t>
        </is>
      </c>
      <c r="C8" s="4" t="n">
        <v>4200</v>
      </c>
      <c r="D8" s="3" t="n">
        <v>10</v>
      </c>
      <c r="E8" s="4" t="n">
        <v>500</v>
      </c>
      <c r="F8" s="3" t="inlineStr">
        <is>
          <t>SL</t>
        </is>
      </c>
      <c r="G8" s="3" t="inlineStr">
        <is>
          <t>2025-02-05</t>
        </is>
      </c>
      <c r="H8" s="4">
        <f>C8-E8</f>
        <v/>
      </c>
    </row>
    <row r="9">
      <c r="A9" s="3" t="inlineStr">
        <is>
          <t>A006</t>
        </is>
      </c>
      <c r="B9" s="3" t="inlineStr">
        <is>
          <t>Commercial Convection Oven - Dual</t>
        </is>
      </c>
      <c r="C9" s="4" t="n">
        <v>8800</v>
      </c>
      <c r="D9" s="3" t="n">
        <v>12</v>
      </c>
      <c r="E9" s="4" t="n">
        <v>1000</v>
      </c>
      <c r="F9" s="3" t="inlineStr">
        <is>
          <t>SL</t>
        </is>
      </c>
      <c r="G9" s="3" t="inlineStr">
        <is>
          <t>2025-01-25</t>
        </is>
      </c>
      <c r="H9" s="4">
        <f>C9-E9</f>
        <v/>
      </c>
    </row>
    <row r="10">
      <c r="A10" s="3" t="inlineStr">
        <is>
          <t>A007</t>
        </is>
      </c>
      <c r="B10" s="3" t="inlineStr">
        <is>
          <t>Square POS System Bundle</t>
        </is>
      </c>
      <c r="C10" s="4" t="n">
        <v>3200</v>
      </c>
      <c r="D10" s="3" t="n">
        <v>4</v>
      </c>
      <c r="E10" s="4" t="n">
        <v>400</v>
      </c>
      <c r="F10" s="3" t="inlineStr">
        <is>
          <t>DDB</t>
        </is>
      </c>
      <c r="G10" s="3" t="inlineStr">
        <is>
          <t>2025-02-10</t>
        </is>
      </c>
      <c r="H10" s="4">
        <f>C10-E10</f>
        <v/>
      </c>
    </row>
    <row r="11">
      <c r="A11" s="3" t="inlineStr">
        <is>
          <t>A008</t>
        </is>
      </c>
      <c r="B11" s="3" t="inlineStr">
        <is>
          <t>Square POS System Bundle</t>
        </is>
      </c>
      <c r="C11" s="4" t="n">
        <v>3200</v>
      </c>
      <c r="D11" s="3" t="n">
        <v>4</v>
      </c>
      <c r="E11" s="4" t="n">
        <v>400</v>
      </c>
      <c r="F11" s="3" t="inlineStr">
        <is>
          <t>DDB</t>
        </is>
      </c>
      <c r="G11" s="3" t="inlineStr">
        <is>
          <t>2025-02-15</t>
        </is>
      </c>
      <c r="H11" s="4">
        <f>C11-E11</f>
        <v/>
      </c>
    </row>
    <row r="12">
      <c r="A12" s="3" t="inlineStr">
        <is>
          <t>A009</t>
        </is>
      </c>
      <c r="B12" s="3" t="inlineStr">
        <is>
          <t>Commercial Refrigerator - Reach-In</t>
        </is>
      </c>
      <c r="C12" s="4" t="n">
        <v>5500</v>
      </c>
      <c r="D12" s="3" t="n">
        <v>10</v>
      </c>
      <c r="E12" s="4" t="n">
        <v>600</v>
      </c>
      <c r="F12" s="3" t="inlineStr">
        <is>
          <t>SL</t>
        </is>
      </c>
      <c r="G12" s="3" t="inlineStr">
        <is>
          <t>2025-01-30</t>
        </is>
      </c>
      <c r="H12" s="4">
        <f>C12-E12</f>
        <v/>
      </c>
    </row>
    <row r="13">
      <c r="A13" s="3" t="inlineStr">
        <is>
          <t>A010</t>
        </is>
      </c>
      <c r="B13" s="3" t="inlineStr">
        <is>
          <t>Commercial Refrigerator - Reach-In</t>
        </is>
      </c>
      <c r="C13" s="4" t="n">
        <v>5500</v>
      </c>
      <c r="D13" s="3" t="n">
        <v>10</v>
      </c>
      <c r="E13" s="4" t="n">
        <v>600</v>
      </c>
      <c r="F13" s="3" t="inlineStr">
        <is>
          <t>SL</t>
        </is>
      </c>
      <c r="G13" s="3" t="inlineStr">
        <is>
          <t>2025-02-08</t>
        </is>
      </c>
      <c r="H13" s="4">
        <f>C13-E13</f>
        <v/>
      </c>
    </row>
    <row r="14">
      <c r="A14" s="3" t="inlineStr">
        <is>
          <t>A011</t>
        </is>
      </c>
      <c r="B14" s="3" t="inlineStr">
        <is>
          <t>Espresso Grinder - Mahlkönig EK43</t>
        </is>
      </c>
      <c r="C14" s="4" t="n">
        <v>3800</v>
      </c>
      <c r="D14" s="3" t="n">
        <v>7</v>
      </c>
      <c r="E14" s="4" t="n">
        <v>500</v>
      </c>
      <c r="F14" s="3" t="inlineStr">
        <is>
          <t>SL</t>
        </is>
      </c>
      <c r="G14" s="3" t="inlineStr">
        <is>
          <t>2025-01-15</t>
        </is>
      </c>
      <c r="H14" s="4">
        <f>C14-E14</f>
        <v/>
      </c>
    </row>
    <row r="15">
      <c r="A15" s="3" t="inlineStr">
        <is>
          <t>A012</t>
        </is>
      </c>
      <c r="B15" s="3" t="inlineStr">
        <is>
          <t>Espresso Grinder - Mahlkönig EK43</t>
        </is>
      </c>
      <c r="C15" s="4" t="n">
        <v>3800</v>
      </c>
      <c r="D15" s="3" t="n">
        <v>7</v>
      </c>
      <c r="E15" s="4" t="n">
        <v>500</v>
      </c>
      <c r="F15" s="3" t="inlineStr">
        <is>
          <t>SL</t>
        </is>
      </c>
      <c r="G15" s="3" t="inlineStr">
        <is>
          <t>2025-02-01</t>
        </is>
      </c>
      <c r="H15" s="4">
        <f>C15-E15</f>
        <v/>
      </c>
    </row>
    <row r="16">
      <c r="A16" s="3" t="inlineStr">
        <is>
          <t>A013</t>
        </is>
      </c>
      <c r="B16" s="3" t="inlineStr">
        <is>
          <t>Water Filtration System - Commercial</t>
        </is>
      </c>
      <c r="C16" s="4" t="n">
        <v>2200</v>
      </c>
      <c r="D16" s="3" t="n">
        <v>8</v>
      </c>
      <c r="E16" s="4" t="n">
        <v>200</v>
      </c>
      <c r="F16" s="3" t="inlineStr">
        <is>
          <t>SL</t>
        </is>
      </c>
      <c r="G16" s="3" t="inlineStr">
        <is>
          <t>2025-01-18</t>
        </is>
      </c>
      <c r="H16" s="4">
        <f>C16-E16</f>
        <v/>
      </c>
    </row>
    <row r="17">
      <c r="A17" s="3" t="inlineStr">
        <is>
          <t>A014</t>
        </is>
      </c>
      <c r="B17" s="3" t="inlineStr">
        <is>
          <t>Water Filtration System - Commercial</t>
        </is>
      </c>
      <c r="C17" s="4" t="n">
        <v>2200</v>
      </c>
      <c r="D17" s="3" t="n">
        <v>8</v>
      </c>
      <c r="E17" s="4" t="n">
        <v>200</v>
      </c>
      <c r="F17" s="3" t="inlineStr">
        <is>
          <t>SL</t>
        </is>
      </c>
      <c r="G17" s="3" t="inlineStr">
        <is>
          <t>2025-02-03</t>
        </is>
      </c>
      <c r="H17" s="4">
        <f>C17-E17</f>
        <v/>
      </c>
    </row>
    <row r="18">
      <c r="A18" s="3" t="inlineStr">
        <is>
          <t>A015</t>
        </is>
      </c>
      <c r="B18" s="3" t="inlineStr">
        <is>
          <t>Outdoor Seating - Weatherproof Set</t>
        </is>
      </c>
      <c r="C18" s="4" t="n">
        <v>3500</v>
      </c>
      <c r="D18" s="3" t="n">
        <v>5</v>
      </c>
      <c r="E18" s="4" t="n">
        <v>300</v>
      </c>
      <c r="F18" s="3" t="inlineStr">
        <is>
          <t>SL</t>
        </is>
      </c>
      <c r="G18" s="3" t="inlineStr">
        <is>
          <t>2025-03-01</t>
        </is>
      </c>
      <c r="H18" s="4">
        <f>C18-E18</f>
        <v/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0" customWidth="1" min="3" max="3"/>
    <col width="24" customWidth="1" min="4" max="4"/>
    <col width="14" customWidth="1" min="5" max="5"/>
    <col width="12" customWidth="1" min="6" max="6"/>
    <col width="10" customWidth="1" min="7" max="7"/>
  </cols>
  <sheetData>
    <row r="1">
      <c r="A1" s="1" t="inlineStr">
        <is>
          <t>Depreciation Schedule</t>
        </is>
      </c>
    </row>
    <row r="2">
      <c r="A2" t="inlineStr">
        <is>
          <t>Selected Asset ID</t>
        </is>
      </c>
      <c r="B2">
        <f>'Asset Register'!A4</f>
        <v/>
      </c>
      <c r="D2" t="inlineStr">
        <is>
          <t>Cost</t>
        </is>
      </c>
      <c r="E2">
        <f>'Asset Register'!C4</f>
        <v/>
      </c>
    </row>
    <row r="3">
      <c r="D3" t="inlineStr">
        <is>
          <t>Useful Life</t>
        </is>
      </c>
      <c r="E3">
        <f>'Asset Register'!D4</f>
        <v/>
      </c>
    </row>
    <row r="4">
      <c r="D4" t="inlineStr">
        <is>
          <t>Salvage</t>
        </is>
      </c>
      <c r="E4">
        <f>'Asset Register'!E4</f>
        <v/>
      </c>
    </row>
    <row r="6">
      <c r="A6" s="2" t="inlineStr">
        <is>
          <t>Year</t>
        </is>
      </c>
      <c r="B6" s="2" t="inlineStr">
        <is>
          <t>Beginning BV</t>
        </is>
      </c>
      <c r="C6" s="2" t="inlineStr">
        <is>
          <t>Depreciation Expense</t>
        </is>
      </c>
      <c r="D6" s="2" t="inlineStr">
        <is>
          <t>Accumulated Depreciation</t>
        </is>
      </c>
      <c r="E6" s="2" t="inlineStr">
        <is>
          <t>Ending BV</t>
        </is>
      </c>
      <c r="F6" s="2" t="inlineStr">
        <is>
          <t>Check</t>
        </is>
      </c>
      <c r="G6" s="2" t="inlineStr">
        <is>
          <t>Method</t>
        </is>
      </c>
    </row>
    <row r="7">
      <c r="A7" s="3" t="n">
        <v>1</v>
      </c>
      <c r="B7" s="4">
        <f>'Asset Register'!C4</f>
        <v/>
      </c>
      <c r="C7" s="4">
        <f>IF('Asset Register'!F4="DDB",MIN(B7*2/'Asset Register'!D4,B7-'Asset Register'!E4),('Asset Register'!C4-'Asset Register'!E4)/'Asset Register'!D4)</f>
        <v/>
      </c>
      <c r="D7" s="4">
        <f>C7</f>
        <v/>
      </c>
      <c r="E7" s="4">
        <f>B7-C7</f>
        <v/>
      </c>
      <c r="F7" s="3">
        <f>IF(E7=('Asset Register'!C4-D7),"OK","ERROR")</f>
        <v/>
      </c>
      <c r="G7" s="3">
        <f>'Asset Register'!F4</f>
        <v/>
      </c>
    </row>
    <row r="8">
      <c r="A8" s="3" t="n">
        <v>2</v>
      </c>
      <c r="B8" s="4">
        <f>E7</f>
        <v/>
      </c>
      <c r="C8" s="4">
        <f>IF('Asset Register'!F4="DDB",MIN(B8*2/'Asset Register'!D4,B8-'Asset Register'!E4),('Asset Register'!C4-'Asset Register'!E4)/'Asset Register'!D4)</f>
        <v/>
      </c>
      <c r="D8" s="4">
        <f>D7+C8</f>
        <v/>
      </c>
      <c r="E8" s="4">
        <f>B8-C8</f>
        <v/>
      </c>
      <c r="F8" s="3">
        <f>IF(E8=('Asset Register'!C4-D8),"OK","ERROR")</f>
        <v/>
      </c>
      <c r="G8" s="3">
        <f>'Asset Register'!F4</f>
        <v/>
      </c>
    </row>
    <row r="9">
      <c r="A9" s="3" t="n">
        <v>3</v>
      </c>
      <c r="B9" s="4">
        <f>E8</f>
        <v/>
      </c>
      <c r="C9" s="4">
        <f>IF('Asset Register'!F4="DDB",MIN(B9*2/'Asset Register'!D4,B9-'Asset Register'!E4),('Asset Register'!C4-'Asset Register'!E4)/'Asset Register'!D4)</f>
        <v/>
      </c>
      <c r="D9" s="4">
        <f>D8+C9</f>
        <v/>
      </c>
      <c r="E9" s="4">
        <f>B9-C9</f>
        <v/>
      </c>
      <c r="F9" s="3">
        <f>IF(E9=('Asset Register'!C4-D9),"OK","ERROR")</f>
        <v/>
      </c>
      <c r="G9" s="3">
        <f>'Asset Register'!F4</f>
        <v/>
      </c>
    </row>
    <row r="10">
      <c r="A10" s="3" t="n">
        <v>4</v>
      </c>
      <c r="B10" s="4">
        <f>E9</f>
        <v/>
      </c>
      <c r="C10" s="4">
        <f>IF('Asset Register'!F4="DDB",MIN(B10*2/'Asset Register'!D4,B10-'Asset Register'!E4),('Asset Register'!C4-'Asset Register'!E4)/'Asset Register'!D4)</f>
        <v/>
      </c>
      <c r="D10" s="4">
        <f>D9+C10</f>
        <v/>
      </c>
      <c r="E10" s="4">
        <f>B10-C10</f>
        <v/>
      </c>
      <c r="F10" s="3">
        <f>IF(E10=('Asset Register'!C4-D10),"OK","ERROR")</f>
        <v/>
      </c>
      <c r="G10" s="3">
        <f>'Asset Register'!F4</f>
        <v/>
      </c>
    </row>
    <row r="11">
      <c r="A11" s="3" t="n">
        <v>5</v>
      </c>
      <c r="B11" s="4">
        <f>E10</f>
        <v/>
      </c>
      <c r="C11" s="4">
        <f>IF('Asset Register'!F4="DDB",MIN(B11*2/'Asset Register'!D4,B11-'Asset Register'!E4),('Asset Register'!C4-'Asset Register'!E4)/'Asset Register'!D4)</f>
        <v/>
      </c>
      <c r="D11" s="4">
        <f>D10+C11</f>
        <v/>
      </c>
      <c r="E11" s="4">
        <f>B11-C11</f>
        <v/>
      </c>
      <c r="F11" s="3">
        <f>IF(E11=('Asset Register'!C4-D11),"OK","ERROR")</f>
        <v/>
      </c>
      <c r="G11" s="3">
        <f>'Asset Register'!F4</f>
        <v/>
      </c>
    </row>
    <row r="12">
      <c r="A12" s="3" t="n">
        <v>6</v>
      </c>
      <c r="B12" s="4">
        <f>E11</f>
        <v/>
      </c>
      <c r="C12" s="4">
        <f>IF('Asset Register'!F4="DDB",MIN(B12*2/'Asset Register'!D4,B12-'Asset Register'!E4),('Asset Register'!C4-'Asset Register'!E4)/'Asset Register'!D4)</f>
        <v/>
      </c>
      <c r="D12" s="4">
        <f>D11+C12</f>
        <v/>
      </c>
      <c r="E12" s="4">
        <f>B12-C12</f>
        <v/>
      </c>
      <c r="F12" s="3">
        <f>IF(E12=('Asset Register'!C4-D12),"OK","ERROR")</f>
        <v/>
      </c>
      <c r="G12" s="3">
        <f>'Asset Register'!F4</f>
        <v/>
      </c>
    </row>
    <row r="13">
      <c r="A13" s="3" t="n">
        <v>7</v>
      </c>
      <c r="B13" s="4">
        <f>E12</f>
        <v/>
      </c>
      <c r="C13" s="4">
        <f>IF('Asset Register'!F4="DDB",MIN(B13*2/'Asset Register'!D4,B13-'Asset Register'!E4),('Asset Register'!C4-'Asset Register'!E4)/'Asset Register'!D4)</f>
        <v/>
      </c>
      <c r="D13" s="4">
        <f>D12+C13</f>
        <v/>
      </c>
      <c r="E13" s="4">
        <f>B13-C13</f>
        <v/>
      </c>
      <c r="F13" s="3">
        <f>IF(E13=('Asset Register'!C4-D13),"OK","ERROR")</f>
        <v/>
      </c>
      <c r="G13" s="3">
        <f>'Asset Register'!F4</f>
        <v/>
      </c>
    </row>
    <row r="14">
      <c r="A14" s="3" t="n">
        <v>8</v>
      </c>
      <c r="B14" s="4">
        <f>E13</f>
        <v/>
      </c>
      <c r="C14" s="4">
        <f>IF('Asset Register'!F4="DDB",MIN(B14*2/'Asset Register'!D4,B14-'Asset Register'!E4),('Asset Register'!C4-'Asset Register'!E4)/'Asset Register'!D4)</f>
        <v/>
      </c>
      <c r="D14" s="4">
        <f>D13+C14</f>
        <v/>
      </c>
      <c r="E14" s="4">
        <f>B14-C14</f>
        <v/>
      </c>
      <c r="F14" s="3">
        <f>IF(E14=('Asset Register'!C4-D14),"OK","ERROR")</f>
        <v/>
      </c>
      <c r="G14" s="3">
        <f>'Asset Register'!F4</f>
        <v/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</cols>
  <sheetData>
    <row r="1">
      <c r="A1" s="1" t="inlineStr">
        <is>
          <t>Method Comparison</t>
        </is>
      </c>
    </row>
    <row r="3">
      <c r="A3" s="2" t="inlineStr">
        <is>
          <t>Year</t>
        </is>
      </c>
      <c r="B3" s="2" t="inlineStr">
        <is>
          <t>SL Expense</t>
        </is>
      </c>
      <c r="C3" s="2" t="inlineStr">
        <is>
          <t>DDB Expense</t>
        </is>
      </c>
      <c r="D3" s="2" t="inlineStr">
        <is>
          <t>SL Ending BV</t>
        </is>
      </c>
      <c r="E3" s="2" t="inlineStr">
        <is>
          <t>DDB Ending BV</t>
        </is>
      </c>
      <c r="F3" s="2" t="inlineStr">
        <is>
          <t>Difference (Expense)</t>
        </is>
      </c>
    </row>
    <row r="4">
      <c r="A4" s="3" t="n">
        <v>1</v>
      </c>
      <c r="B4" s="4">
        <f>('Asset Register'!C4-'Asset Register'!E4)/'Asset Register'!D4</f>
        <v/>
      </c>
      <c r="C4" s="4">
        <f>MIN('Asset Register'!C4*2/'Asset Register'!D4,'Asset Register'!C4-'Asset Register'!E4)</f>
        <v/>
      </c>
      <c r="D4" s="4">
        <f>'Asset Register'!C4-B4</f>
        <v/>
      </c>
      <c r="E4" s="4">
        <f>'Asset Register'!C4-C4</f>
        <v/>
      </c>
      <c r="F4" s="4">
        <f>B4-C4</f>
        <v/>
      </c>
    </row>
    <row r="5">
      <c r="A5" s="3">
        <f>A4+1</f>
        <v/>
      </c>
      <c r="B5" s="4">
        <f>B4</f>
        <v/>
      </c>
      <c r="C5" s="4">
        <f>MIN(E4*2/'Asset Register'!D4,E4-'Asset Register'!E4)</f>
        <v/>
      </c>
      <c r="D5" s="4">
        <f>D4-B5</f>
        <v/>
      </c>
      <c r="E5" s="4">
        <f>E4-C5</f>
        <v/>
      </c>
      <c r="F5" s="4">
        <f>B5-C5</f>
        <v/>
      </c>
    </row>
    <row r="6">
      <c r="A6" s="3">
        <f>A5+1</f>
        <v/>
      </c>
      <c r="B6" s="4">
        <f>B4</f>
        <v/>
      </c>
      <c r="C6" s="4">
        <f>MIN(E5*2/'Asset Register'!D4,E5-'Asset Register'!E4)</f>
        <v/>
      </c>
      <c r="D6" s="4">
        <f>D5-B6</f>
        <v/>
      </c>
      <c r="E6" s="4">
        <f>E5-C6</f>
        <v/>
      </c>
      <c r="F6" s="4">
        <f>B6-C6</f>
        <v/>
      </c>
    </row>
    <row r="7">
      <c r="A7" s="3">
        <f>A6+1</f>
        <v/>
      </c>
      <c r="B7" s="4">
        <f>B4</f>
        <v/>
      </c>
      <c r="C7" s="4">
        <f>MIN(E6*2/'Asset Register'!D4,E6-'Asset Register'!E4)</f>
        <v/>
      </c>
      <c r="D7" s="4">
        <f>D6-B7</f>
        <v/>
      </c>
      <c r="E7" s="4">
        <f>E6-C7</f>
        <v/>
      </c>
      <c r="F7" s="4">
        <f>B7-C7</f>
        <v/>
      </c>
    </row>
    <row r="8">
      <c r="A8" s="3">
        <f>A7+1</f>
        <v/>
      </c>
      <c r="B8" s="4">
        <f>B4</f>
        <v/>
      </c>
      <c r="C8" s="4">
        <f>MIN(E7*2/'Asset Register'!D4,E7-'Asset Register'!E4)</f>
        <v/>
      </c>
      <c r="D8" s="4">
        <f>D7-B8</f>
        <v/>
      </c>
      <c r="E8" s="4">
        <f>E7-C8</f>
        <v/>
      </c>
      <c r="F8" s="4">
        <f>B8-C8</f>
        <v/>
      </c>
    </row>
    <row r="9">
      <c r="A9" s="3">
        <f>A8+1</f>
        <v/>
      </c>
      <c r="B9" s="4">
        <f>B4</f>
        <v/>
      </c>
      <c r="C9" s="4">
        <f>MIN(E8*2/'Asset Register'!D4,E8-'Asset Register'!E4)</f>
        <v/>
      </c>
      <c r="D9" s="4">
        <f>D8-B9</f>
        <v/>
      </c>
      <c r="E9" s="4">
        <f>E8-C9</f>
        <v/>
      </c>
      <c r="F9" s="4">
        <f>B9-C9</f>
        <v/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</cols>
  <sheetData>
    <row r="1">
      <c r="A1" s="1" t="inlineStr">
        <is>
          <t>Recommendation</t>
        </is>
      </c>
    </row>
    <row r="3">
      <c r="A3" s="5" t="inlineStr">
        <is>
          <t>Claim:</t>
        </is>
      </c>
      <c r="B3" t="inlineStr">
        <is>
          <t>Use SL or DDB based on expense timing and business needs.</t>
        </is>
      </c>
    </row>
    <row r="4">
      <c r="A4" s="5" t="inlineStr">
        <is>
          <t>Evidence 1 (cell reference):</t>
        </is>
      </c>
      <c r="B4" t="inlineStr">
        <is>
          <t>Example: 'Method Comparison'!B4</t>
        </is>
      </c>
    </row>
    <row r="5">
      <c r="A5" s="5" t="inlineStr">
        <is>
          <t>Evidence 2 (cell reference):</t>
        </is>
      </c>
    </row>
    <row r="6">
      <c r="A6" s="5" t="inlineStr">
        <is>
          <t>Evidence 3 (cell reference):</t>
        </is>
      </c>
    </row>
    <row r="7">
      <c r="A7" s="5" t="inlineStr">
        <is>
          <t>Risk / Limitation:</t>
        </is>
      </c>
    </row>
    <row r="8">
      <c r="A8" s="5" t="inlineStr">
        <is>
          <t>Final Recommendation: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2026-04-03T01:39:51Z</dcterms:created>
  <dcterms:modified xmlns:dcterms="http://purl.org/dc/terms/" xmlns:xsi="http://www.w3.org/2001/XMLSchema-instance" xsi:type="dcterms:W3CDTF">2026-04-03T01:39:51Z</dcterms:modified>
</cp:coreProperties>
</file>