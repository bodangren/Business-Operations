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20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3 - Fresh Fork Weekly Pricing Project</t>
        </is>
      </c>
      <c r="B1"/>
      <c r="C1"/>
      <c r="D1"/>
      <c r="E1"/>
      <c r="F1"/>
      <c r="G1"/>
      <c r="H1"/>
    </row>
    <row r="2" spans="1:8">
      <c r="A2" t="inlineStr">
        <is>
          <t>Meal Prep Delivery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Kitchen rental</t>
        </is>
      </c>
      <c r="B6">
        <v>1150</v>
      </c>
      <c r="C6" t="inlineStr">
        <is>
          <t/>
        </is>
      </c>
      <c r="D6" t="inlineStr">
        <is>
          <t>Shared kitchen lease</t>
        </is>
      </c>
      <c r="E6"/>
      <c r="F6" t="inlineStr">
        <is>
          <t>Fixed Costs Total</t>
        </is>
      </c>
      <c r="G6">
        <f>SUMIF($C$6:$C$20,"Fixed",$B$6:$B$20)</f>
      </c>
      <c r="H6"/>
    </row>
    <row r="7" spans="1:8">
      <c r="A7" t="inlineStr">
        <is>
          <t>Permits and licenses</t>
        </is>
      </c>
      <c r="B7">
        <v>150</v>
      </c>
      <c r="C7" t="inlineStr">
        <is>
          <t/>
        </is>
      </c>
      <c r="D7" t="inlineStr">
        <is>
          <t>Monthly set-aside</t>
        </is>
      </c>
      <c r="E7"/>
      <c r="F7" t="inlineStr">
        <is>
          <t>Variable Cost per Unit</t>
        </is>
      </c>
      <c r="G7">
        <f>SUMIF($C$6:$C$20,"Variable",$B$6:$B$20)</f>
      </c>
      <c r="H7"/>
    </row>
    <row r="8" spans="1:8">
      <c r="A8" t="inlineStr">
        <is>
          <t>Fridge lease</t>
        </is>
      </c>
      <c r="B8">
        <v>180</v>
      </c>
      <c r="C8" t="inlineStr">
        <is>
          <t/>
        </is>
      </c>
      <c r="D8" t="inlineStr">
        <is>
          <t>Cold storage</t>
        </is>
      </c>
      <c r="E8"/>
      <c r="F8" t="inlineStr">
        <is>
          <t>Monthly Capacity</t>
        </is>
      </c>
      <c r="G8">
        <v>420</v>
      </c>
      <c r="H8"/>
    </row>
    <row r="9" spans="1:8">
      <c r="A9" t="inlineStr">
        <is>
          <t>Ordering software</t>
        </is>
      </c>
      <c r="B9">
        <v>85</v>
      </c>
      <c r="C9" t="inlineStr">
        <is>
          <t/>
        </is>
      </c>
      <c r="D9" t="inlineStr">
        <is>
          <t>Subscription</t>
        </is>
      </c>
      <c r="E9"/>
      <c r="F9" t="inlineStr">
        <is>
          <t>Target Monthly Profit</t>
        </is>
      </c>
      <c r="G9">
        <v>900</v>
      </c>
      <c r="H9"/>
    </row>
    <row r="10" spans="1:8">
      <c r="A10" t="inlineStr">
        <is>
          <t>Insurance</t>
        </is>
      </c>
      <c r="B10">
        <v>160</v>
      </c>
      <c r="C10" t="inlineStr">
        <is>
          <t/>
        </is>
      </c>
      <c r="D10" t="inlineStr">
        <is>
          <t>Business policy</t>
        </is>
      </c>
      <c r="E10"/>
      <c r="F10" t="inlineStr">
        <is>
          <t>Base Price</t>
        </is>
      </c>
      <c r="G10">
        <v>20</v>
      </c>
      <c r="H10"/>
    </row>
    <row r="11" spans="1:8">
      <c r="A11" t="inlineStr">
        <is>
          <t>Manager stipend</t>
        </is>
      </c>
      <c r="B11">
        <v>500</v>
      </c>
      <c r="C11" t="inlineStr">
        <is>
          <t/>
        </is>
      </c>
      <c r="D11" t="inlineStr">
        <is>
          <t>Operations lead</t>
        </is>
      </c>
      <c r="E11"/>
      <c r="F11" t="inlineStr">
        <is>
          <t>Forecast Units @ Base Price</t>
        </is>
      </c>
      <c r="G11">
        <v>320</v>
      </c>
      <c r="H11"/>
    </row>
    <row r="12" spans="1:8">
      <c r="A12" t="inlineStr">
        <is>
          <t>Phone + internet</t>
        </is>
      </c>
      <c r="B12">
        <v>60</v>
      </c>
      <c r="C12" t="inlineStr">
        <is>
          <t/>
        </is>
      </c>
      <c r="D12" t="inlineStr">
        <is>
          <t>Admin line</t>
        </is>
      </c>
      <c r="E12"/>
      <c r="F12" t="inlineStr">
        <is>
          <t>Suggested Price Band</t>
        </is>
      </c>
      <c r="G12" t="inlineStr">
        <is>
          <t>$18-$22 per meal kit</t>
        </is>
      </c>
      <c r="H12"/>
    </row>
    <row r="13" spans="1:8">
      <c r="A13" t="inlineStr">
        <is>
          <t>Equipment cleaning contract</t>
        </is>
      </c>
      <c r="B13">
        <v>315</v>
      </c>
      <c r="C13" t="inlineStr">
        <is>
          <t/>
        </is>
      </c>
      <c r="D13" t="inlineStr">
        <is>
          <t>Sanitation service</t>
        </is>
      </c>
      <c r="E13"/>
      <c r="F13"/>
      <c r="G13"/>
      <c r="H13"/>
    </row>
    <row r="14" spans="1:8">
      <c r="A14" t="inlineStr">
        <is>
          <t>Ingredients</t>
        </is>
      </c>
      <c r="B14">
        <v>5.4</v>
      </c>
      <c r="C14" t="inlineStr">
        <is>
          <t/>
        </is>
      </c>
      <c r="D14" t="inlineStr">
        <is>
          <t>Per kit food cost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Container</t>
        </is>
      </c>
      <c r="B15">
        <v>0.8</v>
      </c>
      <c r="C15" t="inlineStr">
        <is>
          <t/>
        </is>
      </c>
      <c r="D15" t="inlineStr">
        <is>
          <t>Per kit packaging</t>
        </is>
      </c>
      <c r="E15"/>
      <c r="F15" t="inlineStr">
        <is>
          <t>Family Saver</t>
        </is>
      </c>
      <c r="G15">
        <v>18</v>
      </c>
      <c r="H15">
        <v>380</v>
      </c>
    </row>
    <row r="16" spans="1:8">
      <c r="A16" t="inlineStr">
        <is>
          <t>Label</t>
        </is>
      </c>
      <c r="B16">
        <v>0.2</v>
      </c>
      <c r="C16" t="inlineStr">
        <is>
          <t/>
        </is>
      </c>
      <c r="D16" t="inlineStr">
        <is>
          <t>Per kit label</t>
        </is>
      </c>
      <c r="E16"/>
      <c r="F16" t="inlineStr">
        <is>
          <t>Balanced Plan</t>
        </is>
      </c>
      <c r="G16">
        <v>20</v>
      </c>
      <c r="H16">
        <v>320</v>
      </c>
    </row>
    <row r="17" spans="1:8">
      <c r="A17" t="inlineStr">
        <is>
          <t>Payment fees</t>
        </is>
      </c>
      <c r="B17">
        <v>0.4</v>
      </c>
      <c r="C17" t="inlineStr">
        <is>
          <t/>
        </is>
      </c>
      <c r="D17" t="inlineStr">
        <is>
          <t>Per kit processing</t>
        </is>
      </c>
      <c r="E17"/>
      <c r="F17" t="inlineStr">
        <is>
          <t>Protein Pro</t>
        </is>
      </c>
      <c r="G17">
        <v>22</v>
      </c>
      <c r="H17">
        <v>260</v>
      </c>
    </row>
    <row r="18" spans="1:8">
      <c r="A18" t="inlineStr">
        <is>
          <t>Delivery fuel</t>
        </is>
      </c>
      <c r="B18">
        <v>1.0</v>
      </c>
      <c r="C18" t="inlineStr">
        <is>
          <t/>
        </is>
      </c>
      <c r="D18" t="inlineStr">
        <is>
          <t>Per kit route cost</t>
        </is>
      </c>
      <c r="E18"/>
      <c r="F18"/>
      <c r="G18"/>
      <c r="H18"/>
    </row>
    <row r="19" spans="1:8">
      <c r="A19" t="inlineStr">
        <is>
          <t>Prep labor</t>
        </is>
      </c>
      <c r="B19">
        <v>0.8</v>
      </c>
      <c r="C19" t="inlineStr">
        <is>
          <t/>
        </is>
      </c>
      <c r="D19" t="inlineStr">
        <is>
          <t>Per kit assembly</t>
        </is>
      </c>
      <c r="E19"/>
      <c r="F19"/>
      <c r="G19"/>
      <c r="H19"/>
    </row>
    <row r="20" spans="1:8">
      <c r="A20" t="inlineStr">
        <is>
          <t>Kitchen consumables</t>
        </is>
      </c>
      <c r="B20">
        <v>0.4</v>
      </c>
      <c r="C20" t="inlineStr">
        <is>
          <t/>
        </is>
      </c>
      <c r="D20" t="inlineStr">
        <is>
          <t>Per kit gloves, foil, cleaner</t>
        </is>
      </c>
      <c r="E20"/>
      <c r="F20"/>
      <c r="G20"/>
      <c r="H20"/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 t="inlineStr">
        <is>
          <t>Variable Cost per Unit</t>
        </is>
      </c>
      <c r="B4">
        <f>CostSetup!$G$7</f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Family Saver</t>
        </is>
      </c>
      <c r="B7">
        <v>18</v>
      </c>
      <c r="C7">
        <v>380</v>
      </c>
      <c r="D7">
        <f>CostSetup!$G$7</f>
      </c>
      <c r="E7">
        <f>B7-D7</f>
      </c>
      <c r="F7">
        <f>E7/B7</f>
      </c>
      <c r="G7">
        <f>(B7-D7)*C7-$B$3</f>
      </c>
    </row>
    <row r="8" spans="1:7">
      <c r="A8" t="inlineStr">
        <is>
          <t>Balanced Plan</t>
        </is>
      </c>
      <c r="B8">
        <v>20</v>
      </c>
      <c r="C8">
        <v>320</v>
      </c>
      <c r="D8">
        <f>CostSetup!$G$7</f>
      </c>
      <c r="E8">
        <f>B8-D8</f>
      </c>
      <c r="F8">
        <f>E8/B8</f>
      </c>
      <c r="G8">
        <f>(B8-D8)*C8-$B$3</f>
      </c>
    </row>
    <row r="9" spans="1:7">
      <c r="A9" t="inlineStr">
        <is>
          <t>Protein Pro</t>
        </is>
      </c>
      <c r="B9">
        <v>22</v>
      </c>
      <c r="C9">
        <v>260</v>
      </c>
      <c r="D9">
        <f>CostSetup!$G$7</f>
      </c>
      <c r="E9">
        <f>B9-D9</f>
      </c>
      <c r="F9">
        <f>E9/B9</f>
      </c>
      <c r="G9">
        <f>(B9-D9)*C9-$B$3</f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Family Saver</t>
        </is>
      </c>
      <c r="B6">
        <f>PriceOptions!C7</f>
      </c>
      <c r="C6">
        <f>ROUNDUP($B$3/(PriceOptions!E7),0)</f>
      </c>
      <c r="D6" t="str">
        <f>IF(B6&gt;=C6,"Yes","No")</f>
      </c>
      <c r="E6" t="str">
        <f>IF(B6&lt;=$D$3,"Yes","No")</f>
      </c>
      <c r="F6">
        <f>B6-C6</f>
      </c>
      <c r="G6">
        <f>PriceOptions!G7</f>
      </c>
    </row>
    <row r="7" spans="1:7">
      <c r="A7" t="inlineStr">
        <is>
          <t>Balanced Plan</t>
        </is>
      </c>
      <c r="B7">
        <f>PriceOptions!C8</f>
      </c>
      <c r="C7">
        <f>ROUNDUP($B$3/(PriceOptions!E8),0)</f>
      </c>
      <c r="D7" t="str">
        <f>IF(B7&gt;=C7,"Yes","No")</f>
      </c>
      <c r="E7" t="str">
        <f>IF(B7&lt;=$D$3,"Yes","No")</f>
      </c>
      <c r="F7">
        <f>B7-C7</f>
      </c>
      <c r="G7">
        <f>PriceOptions!G8</f>
      </c>
    </row>
    <row r="8" spans="1:7">
      <c r="A8" t="inlineStr">
        <is>
          <t>Protein Pro</t>
        </is>
      </c>
      <c r="B8">
        <f>PriceOptions!C9</f>
      </c>
      <c r="C8">
        <f>ROUNDUP($B$3/(PriceOptions!E9),0)</f>
      </c>
      <c r="D8" t="str">
        <f>IF(B8&gt;=C8,"Yes","No")</f>
      </c>
      <c r="E8" t="str">
        <f>IF(B8&lt;=$D$3,"Yes","No")</f>
      </c>
      <c r="F8">
        <f>B8-C8</f>
      </c>
      <c r="G8">
        <f>PriceOptions!G9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</c>
      <c r="C3"/>
    </row>
    <row r="4" spans="1:3">
      <c r="A4" t="inlineStr">
        <is>
          <t>Variable Cost per Unit</t>
        </is>
      </c>
      <c r="B4">
        <f>CostSetup!$G$7</f>
      </c>
      <c r="C4"/>
    </row>
    <row r="5" spans="1:3">
      <c r="A5" t="inlineStr">
        <is>
          <t>Target Monthly Profit</t>
        </is>
      </c>
      <c r="B5">
        <f>CostSetup!$G$9</f>
      </c>
      <c r="C5"/>
    </row>
    <row r="6" spans="1:3">
      <c r="A6" t="inlineStr">
        <is>
          <t>Base Price</t>
        </is>
      </c>
      <c r="B6">
        <f>CostSetup!$G$10</f>
      </c>
      <c r="C6"/>
    </row>
    <row r="7" spans="1:3">
      <c r="A7" t="inlineStr">
        <is>
          <t>Base Forecast Units</t>
        </is>
      </c>
      <c r="B7">
        <f>CostSetup!$G$11</f>
      </c>
      <c r="C7"/>
    </row>
    <row r="8" spans="1:3">
      <c r="A8" t="inlineStr">
        <is>
          <t>Capacity</t>
        </is>
      </c>
      <c r="B8">
        <f>CostSetup!$G$8</f>
      </c>
      <c r="C8"/>
    </row>
    <row r="9" spans="1:3">
      <c r="A9" t="inlineStr">
        <is>
          <t>Contribution Margin @ Base Price</t>
        </is>
      </c>
      <c r="B9">
        <f>B6-B4</f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</c>
    </row>
    <row r="4" spans="1:2">
      <c r="A4" t="inlineStr">
        <is>
          <t>Variable Cost per Unit</t>
        </is>
      </c>
      <c r="B4">
        <f>CostSetup!$G$7</f>
      </c>
    </row>
    <row r="5" spans="1:2">
      <c r="A5" t="inlineStr">
        <is>
          <t>Assumed Units</t>
        </is>
      </c>
      <c r="B5">
        <f>CostSetup!$G$11</f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18</v>
      </c>
      <c r="B8">
        <f>(A8-$B$4)*$B$5-$B$3</f>
      </c>
    </row>
    <row r="9" spans="1:2">
      <c r="A9">
        <v>19</v>
      </c>
      <c r="B9">
        <f>(A9-$B$4)*$B$5-$B$3</f>
      </c>
    </row>
    <row r="10" spans="1:2">
      <c r="A10">
        <v>20</v>
      </c>
      <c r="B10">
        <f>(A10-$B$4)*$B$5-$B$3</f>
      </c>
    </row>
    <row r="11" spans="1:2">
      <c r="A11">
        <v>21</v>
      </c>
      <c r="B11">
        <f>(A11-$B$4)*$B$5-$B$3</f>
      </c>
    </row>
    <row r="12" spans="1:2">
      <c r="A12">
        <v>22</v>
      </c>
      <c r="B12">
        <f>(A12-$B$4)*$B$5-$B$3</f>
      </c>
    </row>
    <row r="13" spans="1:2">
      <c r="A13">
        <v>23</v>
      </c>
      <c r="B13">
        <f>(A13-$B$4)*$B$5-$B$3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</c>
      <c r="C3" t="inlineStr">
        <is>
          <t>Variable Cost per Unit</t>
        </is>
      </c>
      <c r="D3">
        <f>CostSetup!$G$7</f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260</v>
      </c>
      <c r="C5" s="1">
        <v>300</v>
      </c>
      <c r="D5" s="1">
        <v>340</v>
      </c>
      <c r="E5" s="1">
        <v>380</v>
      </c>
      <c r="F5" s="1">
        <v>420</v>
      </c>
    </row>
    <row r="6" spans="1:6">
      <c r="A6" s="1">
        <v>18</v>
      </c>
      <c r="B6">
        <f>($A6-$D$3)*B$5-$B$3</f>
      </c>
      <c r="C6">
        <f>($A6-$D$3)*C$5-$B$3</f>
      </c>
      <c r="D6">
        <f>($A6-$D$3)*D$5-$B$3</f>
      </c>
      <c r="E6">
        <f>($A6-$D$3)*E$5-$B$3</f>
      </c>
      <c r="F6">
        <f>($A6-$D$3)*F$5-$B$3</f>
      </c>
    </row>
    <row r="7" spans="1:6">
      <c r="A7" s="1">
        <v>19</v>
      </c>
      <c r="B7">
        <f>($A7-$D$3)*B$5-$B$3</f>
      </c>
      <c r="C7">
        <f>($A7-$D$3)*C$5-$B$3</f>
      </c>
      <c r="D7">
        <f>($A7-$D$3)*D$5-$B$3</f>
      </c>
      <c r="E7">
        <f>($A7-$D$3)*E$5-$B$3</f>
      </c>
      <c r="F7">
        <f>($A7-$D$3)*F$5-$B$3</f>
      </c>
    </row>
    <row r="8" spans="1:6">
      <c r="A8" s="1">
        <v>20</v>
      </c>
      <c r="B8">
        <f>($A8-$D$3)*B$5-$B$3</f>
      </c>
      <c r="C8">
        <f>($A8-$D$3)*C$5-$B$3</f>
      </c>
      <c r="D8">
        <f>($A8-$D$3)*D$5-$B$3</f>
      </c>
      <c r="E8">
        <f>($A8-$D$3)*E$5-$B$3</f>
      </c>
      <c r="F8">
        <f>($A8-$D$3)*F$5-$B$3</f>
      </c>
    </row>
    <row r="9" spans="1:6">
      <c r="A9" s="1">
        <v>21</v>
      </c>
      <c r="B9">
        <f>($A9-$D$3)*B$5-$B$3</f>
      </c>
      <c r="C9">
        <f>($A9-$D$3)*C$5-$B$3</f>
      </c>
      <c r="D9">
        <f>($A9-$D$3)*D$5-$B$3</f>
      </c>
      <c r="E9">
        <f>($A9-$D$3)*E$5-$B$3</f>
      </c>
      <c r="F9">
        <f>($A9-$D$3)*F$5-$B$3</f>
      </c>
    </row>
    <row r="10" spans="1:6">
      <c r="A10" s="1">
        <v>22</v>
      </c>
      <c r="B10">
        <f>($A10-$D$3)*B$5-$B$3</f>
      </c>
      <c r="C10">
        <f>($A10-$D$3)*C$5-$B$3</f>
      </c>
      <c r="D10">
        <f>($A10-$D$3)*D$5-$B$3</f>
      </c>
      <c r="E10">
        <f>($A10-$D$3)*E$5-$B$3</f>
      </c>
      <c r="F10">
        <f>($A10-$D$3)*F$5-$B$3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/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</c>
      <c r="C11"/>
      <c r="D11"/>
    </row>
    <row r="12" spans="1:4">
      <c r="A12" t="inlineStr">
        <is>
          <t>Downside Profit</t>
        </is>
      </c>
      <c r="B12">
        <v>280.0</v>
      </c>
      <c r="C12"/>
      <c r="D12"/>
    </row>
    <row r="13" spans="1:4">
      <c r="A13" t="inlineStr">
        <is>
          <t>Upside Profit</t>
        </is>
      </c>
      <c r="B13">
        <v>1880.0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/>
        </is>
      </c>
      <c r="C15"/>
      <c r="D15"/>
    </row>
    <row r="16" spans="1:4">
      <c r="A16" s="1" t="inlineStr">
        <is>
          <t>Risk Statement</t>
        </is>
      </c>
      <c r="B16" t="inlineStr">
        <is>
          <t/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Family Saver</t>
        </is>
      </c>
      <c r="B20">
        <v>18</v>
      </c>
      <c r="C20">
        <v>380</v>
      </c>
      <c r="D20">
        <v>820.0</v>
      </c>
    </row>
    <row r="21" spans="1:4">
      <c r="A21" t="inlineStr">
        <is>
          <t>Balanced Plan</t>
        </is>
      </c>
      <c r="B21">
        <v>20</v>
      </c>
      <c r="C21">
        <v>320</v>
      </c>
      <c r="D21">
        <v>920.0</v>
      </c>
    </row>
    <row r="22" spans="1:4">
      <c r="A22" t="inlineStr">
        <is>
          <t>Protein Pro</t>
        </is>
      </c>
      <c r="B22">
        <v>22</v>
      </c>
      <c r="C22">
        <v>260</v>
      </c>
      <c r="D22">
        <v>780.0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