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2755" windowHeight="14535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Trial Balance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b val="1"/>
      <sz val="14"/>
    </font>
    <font>
      <b val="1"/>
    </font>
    <font>
      <b val="1"/>
      <color rgb="00166534"/>
    </font>
  </fonts>
  <fills count="4">
    <fill>
      <patternFill/>
    </fill>
    <fill>
      <patternFill patternType="gray125"/>
    </fill>
    <fill>
      <patternFill patternType="solid">
        <fgColor rgb="00DBEAFE"/>
      </patternFill>
    </fill>
    <fill>
      <patternFill patternType="solid">
        <fgColor rgb="00ECFDF5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0" fontId="3" fillId="3" borderId="1" pivotButton="0" quotePrefix="0" xfId="0"/>
    <xf numFmtId="0" fontId="2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JournalEntries" displayName="JournalEntries" ref="A1:D23" headerRowCount="1" totalsRowShown="0">
  <autoFilter ref="A1:D23"/>
  <tableColumns count="4">
    <tableColumn id="1" name="Date"/>
    <tableColumn id="2" name="Account"/>
    <tableColumn id="3" name="Debit"/>
    <tableColumn id="4" name="Cred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4" customWidth="1" min="1" max="1"/>
    <col width="28" customWidth="1" min="2" max="2"/>
    <col width="16" customWidth="1" min="3" max="3"/>
  </cols>
  <sheetData>
    <row r="1">
      <c r="A1" s="1" t="inlineStr">
        <is>
          <t>TechStart Ledger Checkpoint Summary</t>
        </is>
      </c>
    </row>
    <row r="2">
      <c r="A2" s="2" t="inlineStr">
        <is>
          <t>Prepared By</t>
        </is>
      </c>
      <c r="B2" s="3" t="inlineStr">
        <is>
          <t>Checkpoint Template</t>
        </is>
      </c>
    </row>
    <row r="3">
      <c r="A3" s="2" t="inlineStr">
        <is>
          <t>Date</t>
        </is>
      </c>
      <c r="B3" s="3" t="inlineStr">
        <is>
          <t>2026-04-03</t>
        </is>
      </c>
    </row>
    <row r="4">
      <c r="A4" s="2" t="inlineStr">
        <is>
          <t>Total Debits</t>
        </is>
      </c>
      <c r="B4" s="3">
        <f>SUM('Trial Balance'!B2:B11)</f>
        <v/>
      </c>
    </row>
    <row r="5">
      <c r="A5" s="2" t="inlineStr">
        <is>
          <t>Total Credits</t>
        </is>
      </c>
      <c r="B5" s="4">
        <f>SUM('Trial Balance'!C2:C11)</f>
        <v/>
      </c>
    </row>
    <row r="6">
      <c r="A6" s="2" t="inlineStr">
        <is>
          <t>Difference</t>
        </is>
      </c>
      <c r="B6" s="4">
        <f>B5-B6</f>
        <v/>
      </c>
    </row>
    <row r="7">
      <c r="A7" s="2" t="inlineStr">
        <is>
          <t>Account Count</t>
        </is>
      </c>
      <c r="B7" s="4">
        <f>COUNTA('Trial Balance'!A2:A11)</f>
        <v/>
      </c>
    </row>
    <row r="8">
      <c r="A8" s="2" t="inlineStr">
        <is>
          <t>Transaction Count</t>
        </is>
      </c>
      <c r="B8" s="3">
        <f>COUNTA(Journal!A2:A23)</f>
        <v/>
      </c>
    </row>
    <row r="9">
      <c r="A9" s="2" t="inlineStr">
        <is>
          <t>Status</t>
        </is>
      </c>
      <c r="B9" s="5">
        <f>IF(B7=0,"Balanced","Review Needed")</f>
        <v/>
      </c>
    </row>
    <row r="11">
      <c r="A11" s="6" t="inlineStr">
        <is>
          <t>Evidence Chain</t>
        </is>
      </c>
    </row>
    <row r="12">
      <c r="A12" t="inlineStr">
        <is>
          <t>What this proves: debits equal credits and transaction-level checks are ready for review.</t>
        </is>
      </c>
    </row>
    <row r="13">
      <c r="A13" t="inlineStr">
        <is>
          <t>How it proves it: Trial Balance totals and journal-linked formulas.</t>
        </is>
      </c>
    </row>
    <row r="14">
      <c r="A14" t="inlineStr">
        <is>
          <t>Data source: Journal sheet entries for January operations.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2" sqref="A2"/>
    </sheetView>
  </sheetViews>
  <sheetFormatPr baseColWidth="8" defaultRowHeight="15"/>
  <sheetData>
    <row r="1">
      <c r="A1" t="inlineStr">
        <is>
          <t>Date</t>
        </is>
      </c>
      <c r="B1" t="inlineStr">
        <is>
          <t>Account</t>
        </is>
      </c>
      <c r="C1" t="inlineStr">
        <is>
          <t>Debit</t>
        </is>
      </c>
      <c r="D1" t="inlineStr">
        <is>
          <t>Credit</t>
        </is>
      </c>
    </row>
    <row r="2">
      <c r="A2" t="inlineStr">
        <is>
          <t>2025-01-03</t>
        </is>
      </c>
      <c r="B2" t="inlineStr">
        <is>
          <t>Cash</t>
        </is>
      </c>
      <c r="C2" t="n">
        <v>2200</v>
      </c>
      <c r="D2" t="n">
        <v>0</v>
      </c>
    </row>
    <row r="3">
      <c r="A3" t="inlineStr">
        <is>
          <t>2025-01-03</t>
        </is>
      </c>
      <c r="B3" t="inlineStr">
        <is>
          <t>Service Revenue</t>
        </is>
      </c>
      <c r="C3" t="n">
        <v>0</v>
      </c>
      <c r="D3" t="n">
        <v>2200</v>
      </c>
    </row>
    <row r="4">
      <c r="A4" t="inlineStr">
        <is>
          <t>2025-01-06</t>
        </is>
      </c>
      <c r="B4" t="inlineStr">
        <is>
          <t>Accounts Receivable</t>
        </is>
      </c>
      <c r="C4" t="n">
        <v>650</v>
      </c>
      <c r="D4" t="n">
        <v>0</v>
      </c>
    </row>
    <row r="5">
      <c r="A5" t="inlineStr">
        <is>
          <t>2025-01-06</t>
        </is>
      </c>
      <c r="B5" t="inlineStr">
        <is>
          <t>Service Revenue</t>
        </is>
      </c>
      <c r="C5" t="n">
        <v>0</v>
      </c>
      <c r="D5" t="n">
        <v>650</v>
      </c>
    </row>
    <row r="6">
      <c r="A6" t="inlineStr">
        <is>
          <t>2025-01-09</t>
        </is>
      </c>
      <c r="B6" t="inlineStr">
        <is>
          <t>Advertising Expense</t>
        </is>
      </c>
      <c r="C6" t="n">
        <v>400</v>
      </c>
      <c r="D6" t="n">
        <v>0</v>
      </c>
    </row>
    <row r="7">
      <c r="A7" t="inlineStr">
        <is>
          <t>2025-01-09</t>
        </is>
      </c>
      <c r="B7" t="inlineStr">
        <is>
          <t>Cash</t>
        </is>
      </c>
      <c r="C7" t="n">
        <v>0</v>
      </c>
      <c r="D7" t="n">
        <v>400</v>
      </c>
    </row>
    <row r="8">
      <c r="A8" t="inlineStr">
        <is>
          <t>2025-01-12</t>
        </is>
      </c>
      <c r="B8" t="inlineStr">
        <is>
          <t>Software Subscription Expense</t>
        </is>
      </c>
      <c r="C8" t="n">
        <v>210</v>
      </c>
      <c r="D8" t="n">
        <v>0</v>
      </c>
    </row>
    <row r="9">
      <c r="A9" t="inlineStr">
        <is>
          <t>2025-01-12</t>
        </is>
      </c>
      <c r="B9" t="inlineStr">
        <is>
          <t>Accounts Payable</t>
        </is>
      </c>
      <c r="C9" t="n">
        <v>0</v>
      </c>
      <c r="D9" t="n">
        <v>210</v>
      </c>
    </row>
    <row r="10">
      <c r="A10" t="inlineStr">
        <is>
          <t>2025-01-15</t>
        </is>
      </c>
      <c r="B10" t="inlineStr">
        <is>
          <t>Cash</t>
        </is>
      </c>
      <c r="C10" t="n">
        <v>1100</v>
      </c>
      <c r="D10" t="n">
        <v>0</v>
      </c>
    </row>
    <row r="11">
      <c r="A11" t="inlineStr">
        <is>
          <t>2025-01-15</t>
        </is>
      </c>
      <c r="B11" t="inlineStr">
        <is>
          <t>Service Revenue</t>
        </is>
      </c>
      <c r="C11" t="n">
        <v>0</v>
      </c>
      <c r="D11" t="n">
        <v>1100</v>
      </c>
    </row>
    <row r="12">
      <c r="A12" t="inlineStr">
        <is>
          <t>2025-01-18</t>
        </is>
      </c>
      <c r="B12" t="inlineStr">
        <is>
          <t>Accounts Payable</t>
        </is>
      </c>
      <c r="C12" t="n">
        <v>210</v>
      </c>
      <c r="D12" t="n">
        <v>0</v>
      </c>
    </row>
    <row r="13">
      <c r="A13" t="inlineStr">
        <is>
          <t>2025-01-18</t>
        </is>
      </c>
      <c r="B13" t="inlineStr">
        <is>
          <t>Cash</t>
        </is>
      </c>
      <c r="C13" t="n">
        <v>0</v>
      </c>
      <c r="D13" t="n">
        <v>210</v>
      </c>
    </row>
    <row r="14">
      <c r="A14" t="inlineStr">
        <is>
          <t>2025-01-21</t>
        </is>
      </c>
      <c r="B14" t="inlineStr">
        <is>
          <t>Rent Expense</t>
        </is>
      </c>
      <c r="C14" t="n">
        <v>850</v>
      </c>
      <c r="D14" t="n">
        <v>0</v>
      </c>
    </row>
    <row r="15">
      <c r="A15" t="inlineStr">
        <is>
          <t>2025-01-21</t>
        </is>
      </c>
      <c r="B15" t="inlineStr">
        <is>
          <t>Cash</t>
        </is>
      </c>
      <c r="C15" t="n">
        <v>0</v>
      </c>
      <c r="D15" t="n">
        <v>850</v>
      </c>
    </row>
    <row r="16">
      <c r="A16" t="inlineStr">
        <is>
          <t>2025-01-24</t>
        </is>
      </c>
      <c r="B16" t="inlineStr">
        <is>
          <t>Salaries Expense</t>
        </is>
      </c>
      <c r="C16" t="n">
        <v>1200</v>
      </c>
      <c r="D16" t="n">
        <v>0</v>
      </c>
    </row>
    <row r="17">
      <c r="A17" t="inlineStr">
        <is>
          <t>2025-01-24</t>
        </is>
      </c>
      <c r="B17" t="inlineStr">
        <is>
          <t>Cash</t>
        </is>
      </c>
      <c r="C17" t="n">
        <v>0</v>
      </c>
      <c r="D17" t="n">
        <v>1200</v>
      </c>
    </row>
    <row r="18">
      <c r="A18" t="inlineStr">
        <is>
          <t>2025-01-27</t>
        </is>
      </c>
      <c r="B18" t="inlineStr">
        <is>
          <t>Supplies Expense</t>
        </is>
      </c>
      <c r="C18" t="n">
        <v>315</v>
      </c>
      <c r="D18" t="n">
        <v>0</v>
      </c>
    </row>
    <row r="19">
      <c r="A19" t="inlineStr">
        <is>
          <t>2025-01-27</t>
        </is>
      </c>
      <c r="B19" t="inlineStr">
        <is>
          <t>Supplies Inventory</t>
        </is>
      </c>
      <c r="C19" t="n">
        <v>0</v>
      </c>
      <c r="D19" t="n">
        <v>315</v>
      </c>
    </row>
    <row r="20">
      <c r="A20" t="inlineStr">
        <is>
          <t>2025-01-29</t>
        </is>
      </c>
      <c r="B20" t="inlineStr">
        <is>
          <t>Accounts Receivable</t>
        </is>
      </c>
      <c r="C20" t="n">
        <v>900</v>
      </c>
      <c r="D20" t="n">
        <v>0</v>
      </c>
    </row>
    <row r="21">
      <c r="A21" t="inlineStr">
        <is>
          <t>2025-01-29</t>
        </is>
      </c>
      <c r="B21" t="inlineStr">
        <is>
          <t>Service Revenue</t>
        </is>
      </c>
      <c r="C21" t="n">
        <v>0</v>
      </c>
      <c r="D21" t="n">
        <v>900</v>
      </c>
    </row>
    <row r="22">
      <c r="A22" t="inlineStr">
        <is>
          <t>2025-01-30</t>
        </is>
      </c>
      <c r="B22" t="inlineStr">
        <is>
          <t>Cash</t>
        </is>
      </c>
      <c r="C22" t="n">
        <v>900</v>
      </c>
      <c r="D22" t="n">
        <v>0</v>
      </c>
    </row>
    <row r="23">
      <c r="A23" t="inlineStr">
        <is>
          <t>2025-01-30</t>
        </is>
      </c>
      <c r="B23" t="inlineStr">
        <is>
          <t>Accounts Receivable</t>
        </is>
      </c>
      <c r="C23" t="n">
        <v>0</v>
      </c>
      <c r="D23" t="n">
        <v>900</v>
      </c>
    </row>
    <row r="24">
      <c r="A24" t="inlineStr">
        <is>
          <t>Totals</t>
        </is>
      </c>
      <c r="B24" t="inlineStr">
        <is>
          <t>Ledger Totals</t>
        </is>
      </c>
      <c r="C24">
        <f>SUM(JournalEntries[Debit])</f>
        <v/>
      </c>
      <c r="D24">
        <f>SUM(JournalEntries[Credit])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2" sqref="A2"/>
    </sheetView>
  </sheetViews>
  <sheetFormatPr baseColWidth="8" defaultRowHeight="15"/>
  <sheetData>
    <row r="1">
      <c r="A1" t="inlineStr">
        <is>
          <t>Account</t>
        </is>
      </c>
      <c r="B1" t="inlineStr">
        <is>
          <t>Debit</t>
        </is>
      </c>
      <c r="C1" t="inlineStr">
        <is>
          <t>Credit</t>
        </is>
      </c>
    </row>
    <row r="2">
      <c r="A2" t="inlineStr">
        <is>
          <t>Cash</t>
        </is>
      </c>
      <c r="B2">
        <f>SUMIF(JournalEntries[Account],A2,JournalEntries[Debit])</f>
        <v/>
      </c>
      <c r="C2">
        <f>SUMIF(JournalEntries[Account],A2,JournalEntries[Credit])</f>
        <v/>
      </c>
    </row>
    <row r="3">
      <c r="A3" t="inlineStr">
        <is>
          <t>Accounts Receivable</t>
        </is>
      </c>
      <c r="B3">
        <f>SUMIF(JournalEntries[Account],A3,JournalEntries[Debit])</f>
        <v/>
      </c>
      <c r="C3">
        <f>SUMIF(JournalEntries[Account],A3,JournalEntries[Credit])</f>
        <v/>
      </c>
    </row>
    <row r="4">
      <c r="A4" t="inlineStr">
        <is>
          <t>Service Revenue</t>
        </is>
      </c>
      <c r="B4">
        <f>SUMIF(JournalEntries[Account],A4,JournalEntries[Debit])</f>
        <v/>
      </c>
      <c r="C4">
        <f>SUMIF(JournalEntries[Account],A4,JournalEntries[Credit])</f>
        <v/>
      </c>
    </row>
    <row r="5">
      <c r="A5" t="inlineStr">
        <is>
          <t>Advertising Expense</t>
        </is>
      </c>
      <c r="B5">
        <f>SUMIF(JournalEntries[Account],A5,JournalEntries[Debit])</f>
        <v/>
      </c>
      <c r="C5">
        <f>SUMIF(JournalEntries[Account],A5,JournalEntries[Credit])</f>
        <v/>
      </c>
    </row>
    <row r="6">
      <c r="A6" t="inlineStr">
        <is>
          <t>Software Subscription Expense</t>
        </is>
      </c>
      <c r="B6">
        <f>SUMIF(JournalEntries[Account],A6,JournalEntries[Debit])</f>
        <v/>
      </c>
      <c r="C6">
        <f>SUMIF(JournalEntries[Account],A6,JournalEntries[Credit])</f>
        <v/>
      </c>
    </row>
    <row r="7">
      <c r="A7" t="inlineStr">
        <is>
          <t>Accounts Payable</t>
        </is>
      </c>
      <c r="B7">
        <f>SUMIF(JournalEntries[Account],A7,JournalEntries[Debit])</f>
        <v/>
      </c>
      <c r="C7">
        <f>SUMIF(JournalEntries[Account],A7,JournalEntries[Credit])</f>
        <v/>
      </c>
    </row>
    <row r="8">
      <c r="A8" t="inlineStr">
        <is>
          <t>Rent Expense</t>
        </is>
      </c>
      <c r="B8">
        <f>SUMIF(JournalEntries[Account],A8,JournalEntries[Debit])</f>
        <v/>
      </c>
      <c r="C8">
        <f>SUMIF(JournalEntries[Account],A8,JournalEntries[Credit])</f>
        <v/>
      </c>
    </row>
    <row r="9">
      <c r="A9" t="inlineStr">
        <is>
          <t>Salaries Expense</t>
        </is>
      </c>
      <c r="B9">
        <f>SUMIF(JournalEntries[Account],A9,JournalEntries[Debit])</f>
        <v/>
      </c>
      <c r="C9">
        <f>SUMIF(JournalEntries[Account],A9,JournalEntries[Credit])</f>
        <v/>
      </c>
    </row>
    <row r="10">
      <c r="A10" t="inlineStr">
        <is>
          <t>Supplies Expense</t>
        </is>
      </c>
      <c r="B10">
        <f>SUMIF(JournalEntries[Account],A10,JournalEntries[Debit])</f>
        <v/>
      </c>
      <c r="C10">
        <f>SUMIF(JournalEntries[Account],A10,JournalEntries[Credit])</f>
        <v/>
      </c>
    </row>
    <row r="11">
      <c r="A11" t="inlineStr">
        <is>
          <t>Supplies Inventory</t>
        </is>
      </c>
      <c r="B11">
        <f>SUMIF(JournalEntries[Account],A11,JournalEntries[Debit])</f>
        <v/>
      </c>
      <c r="C11">
        <f>SUMIF(JournalEntries[Account],A11,JournalEntries[Credit])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Math for Business Operations</dc:creator>
  <dcterms:created xmlns:dcterms="http://purl.org/dc/terms/" xmlns:xsi="http://www.w3.org/2001/XMLSchema-instance" xsi:type="dcterms:W3CDTF">2025-02-13T12:00:00Z</dcterms:created>
  <dcterms:modified xmlns:dcterms="http://purl.org/dc/terms/" xmlns:xsi="http://www.w3.org/2001/XMLSchema-instance" xsi:type="dcterms:W3CDTF">2026-04-03T01:39:51Z</dcterms:modified>
  <cp:lastModifiedBy>Math for Business Operations</cp:lastModifiedBy>
</cp:coreProperties>
</file>