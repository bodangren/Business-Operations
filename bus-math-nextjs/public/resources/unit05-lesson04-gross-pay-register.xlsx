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
 <Relationship Id="rId1" Type="http://schemas.openxmlformats.org/officeDocument/2006/relationships/officeDocument" Target="xl/workbook.xml"/>
 <Relationship Id="rId2" Type="http://schemas.openxmlformats.org/package/2006/relationships/metadata/core-properties" Target="docProps/core.xml"/>
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bookViews>
    <workbookView activeTab="1"/>
  </bookViews>
  <sheets>
    <sheet name="EmployeeList" sheetId="1" r:id="rId1"/>
    <sheet name="GrossPayRegister" sheetId="2" r:id="rId2"/>
  </sheets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
<Relationships xmlns="http://schemas.openxmlformats.org/package/2006/relationships">
 <Relationship Id="rId1" Type="http://schemas.openxmlformats.org/officeDocument/2006/relationships/worksheet" Target="worksheets/sheet1.xml"/>
 <Relationship Id="rId2" Type="http://schemas.openxmlformats.org/officeDocument/2006/relationships/worksheet" Target="worksheets/sheet2.xml"/>
 <Relationship Id="rId3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dimension ref="A1:H5"/>
  <sheetViews>
    <sheetView workbookViewId="0">
      <pane ySplit="1" topLeftCell="A2" activePane="bottomLeft" state="frozen"/>
    </sheetView>
  </sheetViews>
  <sheetFormatPr defaultRowHeight="15"/>
  <sheetData>
    <row r="1">
      <c r="A1" t="inlineStr">
        <is>
          <t>Employee ID</t>
        </is>
      </c>
      <c r="B1" t="inlineStr">
        <is>
          <t>Name</t>
        </is>
      </c>
      <c r="C1" t="inlineStr">
        <is>
          <t>Role</t>
        </is>
      </c>
      <c r="D1" t="inlineStr">
        <is>
          <t>Type</t>
        </is>
      </c>
      <c r="E1" t="inlineStr">
        <is>
          <t>Base Rate/Salary</t>
        </is>
      </c>
      <c r="F1" t="inlineStr">
        <is>
          <t>Commission %</t>
        </is>
      </c>
      <c r="G1" t="inlineStr">
        <is>
          <t>Default Hours</t>
        </is>
      </c>
      <c r="H1" t="inlineStr">
        <is>
          <t>Department</t>
        </is>
      </c>
    </row>
    <row r="2">
      <c r="A2" t="inlineStr">
        <is>
          <t>E001</t>
        </is>
      </c>
      <c r="B2" t="inlineStr">
        <is>
          <t>Alex Chen</t>
        </is>
      </c>
      <c r="C2" t="inlineStr">
        <is>
          <t>Shift Lead</t>
        </is>
      </c>
      <c r="D2" t="inlineStr">
        <is>
          <t>Hourly</t>
        </is>
      </c>
      <c r="E2">
        <v>22</v>
      </c>
      <c r="F2">
        <v>0</v>
      </c>
      <c r="G2">
        <v>40</v>
      </c>
      <c r="H2" t="inlineStr">
        <is>
          <t>Retail</t>
        </is>
      </c>
    </row>
    <row r="3">
      <c r="A3" t="inlineStr">
        <is>
          <t>E002</t>
        </is>
      </c>
      <c r="B3" t="inlineStr">
        <is>
          <t>Jordan Price</t>
        </is>
      </c>
      <c r="C3" t="inlineStr">
        <is>
          <t>Operations Lead</t>
        </is>
      </c>
      <c r="D3" t="inlineStr">
        <is>
          <t>Salary</t>
        </is>
      </c>
      <c r="E3">
        <v>82000</v>
      </c>
      <c r="F3">
        <v>0</v>
      </c>
      <c r="G3">
        <v>40</v>
      </c>
      <c r="H3" t="inlineStr">
        <is>
          <t>HQ</t>
        </is>
      </c>
    </row>
    <row r="4">
      <c r="A4" t="inlineStr">
        <is>
          <t>E003</t>
        </is>
      </c>
      <c r="B4" t="inlineStr">
        <is>
          <t>Maya Ortiz</t>
        </is>
      </c>
      <c r="C4" t="inlineStr">
        <is>
          <t>Partnership Rep</t>
        </is>
      </c>
      <c r="D4" t="inlineStr">
        <is>
          <t>Commission</t>
        </is>
      </c>
      <c r="E4">
        <v>0</v>
      </c>
      <c r="F4">
        <v>0.08</v>
      </c>
      <c r="G4">
        <v>38</v>
      </c>
      <c r="H4" t="inlineStr">
        <is>
          <t>Sales</t>
        </is>
      </c>
    </row>
    <row r="5">
      <c r="A5" t="inlineStr">
        <is>
          <t>E004</t>
        </is>
      </c>
      <c r="B5" t="inlineStr">
        <is>
          <t>Ravi Patel</t>
        </is>
      </c>
      <c r="C5" t="inlineStr">
        <is>
          <t>Server</t>
        </is>
      </c>
      <c r="D5" t="inlineStr">
        <is>
          <t>Hourly</t>
        </is>
      </c>
      <c r="E5">
        <v>18.5</v>
      </c>
      <c r="F5">
        <v>0</v>
      </c>
      <c r="G5">
        <v>28</v>
      </c>
      <c r="H5" t="inlineStr">
        <is>
          <t>Cafe</t>
        </is>
      </c>
    </row>
  </sheetData>
</worksheet>
</file>

<file path=xl/worksheets/sheet2.xml><?xml version="1.0" encoding="utf-8"?>
<worksheet xmlns="http://schemas.openxmlformats.org/spreadsheetml/2006/main">
  <dimension ref="A1:R11"/>
  <sheetViews>
    <sheetView workbookViewId="0">
      <pane ySplit="4" topLeftCell="A5" activePane="bottomLeft" state="frozen"/>
    </sheetView>
  </sheetViews>
  <sheetFormatPr defaultRowHeight="15"/>
  <sheetData>
    <row r="1">
      <c r="B1" t="inlineStr">
        <is>
          <t>Gross Pay Register – Lesson 04</t>
        </is>
      </c>
    </row>
    <row r="2">
      <c r="B2" t="inlineStr">
        <is>
          <t>Combine hourly, salary, and commission employees before applying withholdings.</t>
        </is>
      </c>
    </row>
    <row r="3">
      <c r="B3" t="inlineStr">
        <is>
          <t>Enter schedule inputs in columns E–H and compensation inputs in columns J–N.</t>
        </is>
      </c>
    </row>
    <row r="4">
      <c r="A4" t="inlineStr">
        <is>
          <t>Employee</t>
        </is>
      </c>
      <c r="B4" t="inlineStr">
        <is>
          <t>Role</t>
        </is>
      </c>
      <c r="C4" t="inlineStr">
        <is>
          <t>Type</t>
        </is>
      </c>
      <c r="D4" t="inlineStr">
        <is>
          <t>Pay Period</t>
        </is>
      </c>
      <c r="E4" t="inlineStr">
        <is>
          <t>Regular Hours</t>
        </is>
      </c>
      <c r="F4" t="inlineStr">
        <is>
          <t>Overtime Hours</t>
        </is>
      </c>
      <c r="G4" t="inlineStr">
        <is>
          <t>Hourly Rate</t>
        </is>
      </c>
      <c r="H4" t="inlineStr">
        <is>
          <t>Overtime Rate</t>
        </is>
      </c>
      <c r="I4" t="inlineStr">
        <is>
          <t>Tips</t>
        </is>
      </c>
      <c r="J4" t="inlineStr">
        <is>
          <t>Annual Salary</t>
        </is>
      </c>
      <c r="K4" t="inlineStr">
        <is>
          <t>Pay Periods/Yr</t>
        </is>
      </c>
      <c r="L4" t="inlineStr">
        <is>
          <t>Commission Sales</t>
        </is>
      </c>
      <c r="M4" t="inlineStr">
        <is>
          <t>Commission %</t>
        </is>
      </c>
      <c r="N4" t="inlineStr">
        <is>
          <t>Draw</t>
        </is>
      </c>
      <c r="O4" t="inlineStr">
        <is>
          <t>Gross Pay</t>
        </is>
      </c>
    </row>
    <row r="5">
      <c r="A5" t="inlineStr">
        <is>
          <t>Alex Chen</t>
        </is>
      </c>
      <c r="B5" t="inlineStr">
        <is>
          <t>Shift Lead</t>
        </is>
      </c>
      <c r="C5" t="inlineStr">
        <is>
          <t>Hourly</t>
        </is>
      </c>
      <c r="D5" t="inlineStr">
        <is>
          <t>Bi-weekly</t>
        </is>
      </c>
      <c r="E5">
        <v>35</v>
      </c>
      <c r="F5">
        <v>6</v>
      </c>
      <c r="G5">
        <v>22</v>
      </c>
      <c r="I5">
        <v>45</v>
      </c>
      <c r="J5">
        <v>0</v>
      </c>
      <c r="K5">
        <v>0</v>
      </c>
      <c r="L5">
        <v>0</v>
      </c>
      <c r="M5">
        <v>0</v>
      </c>
      <c r="N5">
        <v>0</v>
      </c>
      <c r="H5">
        <f>IF(C5="Hourly",G5*1.5,"")</f>
      </c>
      <c r="O5">
        <f>IF(C5="Hourly",(E5*G5)+(F5*G5*1.5)+I5,IF(C5="Salary",IF(K5&gt;0,J5/K5,""),IF(C5="Commission",(L5*M5)+N5,"")))</f>
      </c>
      <c r="Q5" t="inlineStr">
        <is>
          <t>Summary</t>
        </is>
      </c>
    </row>
    <row r="6">
      <c r="A6" t="inlineStr">
        <is>
          <t>Ravi Patel</t>
        </is>
      </c>
      <c r="B6" t="inlineStr">
        <is>
          <t>Server</t>
        </is>
      </c>
      <c r="C6" t="inlineStr">
        <is>
          <t>Hourly</t>
        </is>
      </c>
      <c r="D6" t="inlineStr">
        <is>
          <t>Bi-weekly</t>
        </is>
      </c>
      <c r="E6">
        <v>28</v>
      </c>
      <c r="F6">
        <v>0</v>
      </c>
      <c r="G6">
        <v>18.5</v>
      </c>
      <c r="I6">
        <v>95</v>
      </c>
      <c r="J6">
        <v>0</v>
      </c>
      <c r="K6">
        <v>0</v>
      </c>
      <c r="L6">
        <v>0</v>
      </c>
      <c r="M6">
        <v>0</v>
      </c>
      <c r="N6">
        <v>0</v>
      </c>
      <c r="H6">
        <f>IF(C6="Hourly",G6*1.5,"")</f>
      </c>
      <c r="O6">
        <f>IF(C6="Hourly",(E6*G6)+(F6*G6*1.5)+I6,IF(C6="Salary",IF(K6&gt;0,J6/K6,""),IF(C6="Commission",(L6*M6)+N6,"")))</f>
      </c>
      <c r="Q6" t="inlineStr">
        <is>
          <t>Total Gross Payroll</t>
        </is>
      </c>
      <c r="R6">
        <f>SUM(O5:O8)</f>
      </c>
    </row>
    <row r="7">
      <c r="A7" t="inlineStr">
        <is>
          <t>Jordan Price</t>
        </is>
      </c>
      <c r="B7" t="inlineStr">
        <is>
          <t>Operations Lead</t>
        </is>
      </c>
      <c r="C7" t="inlineStr">
        <is>
          <t>Salary</t>
        </is>
      </c>
      <c r="D7" t="inlineStr">
        <is>
          <t>Bi-weekly</t>
        </is>
      </c>
      <c r="E7">
        <v>0</v>
      </c>
      <c r="F7">
        <v>0</v>
      </c>
      <c r="G7">
        <v>0</v>
      </c>
      <c r="I7">
        <v>0</v>
      </c>
      <c r="J7">
        <v>82000</v>
      </c>
      <c r="K7">
        <v>26</v>
      </c>
      <c r="L7">
        <v>0</v>
      </c>
      <c r="M7">
        <v>0</v>
      </c>
      <c r="N7">
        <v>0</v>
      </c>
      <c r="H7">
        <f>IF(C7="Hourly",G7*1.5,"")</f>
      </c>
      <c r="O7">
        <f>IF(C7="Hourly",(E7*G7)+(F7*G7*1.5)+I7,IF(C7="Salary",IF(K7&gt;0,J7/K7,""),IF(C7="Commission",(L7*M7)+N7,"")))</f>
      </c>
      <c r="Q7" t="inlineStr">
        <is>
          <t>Hourly Subtotal</t>
        </is>
      </c>
      <c r="R7">
        <f>SUMIF($C$5:$C$8,"Hourly",$O$5:$O$8)</f>
      </c>
    </row>
    <row r="8">
      <c r="A8" t="inlineStr">
        <is>
          <t>Maya Ortiz</t>
        </is>
      </c>
      <c r="B8" t="inlineStr">
        <is>
          <t>Partnership Rep</t>
        </is>
      </c>
      <c r="C8" t="inlineStr">
        <is>
          <t>Commission</t>
        </is>
      </c>
      <c r="D8" t="inlineStr">
        <is>
          <t>Monthly</t>
        </is>
      </c>
      <c r="E8">
        <v>0</v>
      </c>
      <c r="F8">
        <v>0</v>
      </c>
      <c r="G8">
        <v>0</v>
      </c>
      <c r="I8">
        <v>0</v>
      </c>
      <c r="J8">
        <v>0</v>
      </c>
      <c r="K8">
        <v>0</v>
      </c>
      <c r="L8">
        <v>26000</v>
      </c>
      <c r="M8">
        <v>0.08</v>
      </c>
      <c r="N8">
        <v>600</v>
      </c>
      <c r="H8">
        <f>IF(C8="Hourly",G8*1.5,"")</f>
      </c>
      <c r="O8">
        <f>IF(C8="Hourly",(E8*G8)+(F8*G8*1.5)+I8,IF(C8="Salary",IF(K8&gt;0,J8/K8,""),IF(C8="Commission",(L8*M8)+N8,"")))</f>
      </c>
      <c r="Q8" t="inlineStr">
        <is>
          <t>Salary Subtotal</t>
        </is>
      </c>
      <c r="R8">
        <f>SUMIF($C$5:$C$8,"Salary",$O$5:$O$8)</f>
      </c>
    </row>
    <row r="9">
      <c r="Q9" t="inlineStr">
        <is>
          <t>Commission Subtotal</t>
        </is>
      </c>
      <c r="R9">
        <f>SUMIF($C$5:$C$8,"Commission",$O$5:$O$8)</f>
      </c>
    </row>
    <row r="10">
      <c r="Q10" t="inlineStr">
        <is>
          <t>Employees with Overtime</t>
        </is>
      </c>
      <c r="R10">
        <f>COUNTIF($F$5:$F$8,"&gt;0")</f>
      </c>
    </row>
    <row r="11">
      <c r="Q11" t="inlineStr">
        <is>
          <t>Average Cost per Employee</t>
        </is>
      </c>
      <c r="R11">
        <f>AVERAGEIF($O$5:$O$8,"&gt;0")</f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EmployeeList</vt:lpstr>
      <vt:lpstr>GrossPayRegister</vt:lpstr>
    </vt:vector>
  </TitlesOfParts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Generated by automation</dc:creator>
  <cp:lastModifiedBy>Generated by automation</cp:lastModifiedBy>
  <dcterms:created xsi:type="dcterms:W3CDTF">2025-12-15T11:00:49.459742Z</dcterms:created>
  <dcterms:modified xsi:type="dcterms:W3CDTF">2025-12-15T11:00:49.459742Z</dcterms:modified>
</cp:coreProperties>
</file>