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y Categories" sheetId="1" state="visible" r:id="rId1"/>
    <sheet xmlns:r="http://schemas.openxmlformats.org/officeDocument/2006/relationships" name="Asset Register" sheetId="2" state="visible" r:id="rId2"/>
    <sheet xmlns:r="http://schemas.openxmlformats.org/officeDocument/2006/relationships" name="Partial-Year Depreciation" sheetId="3" state="visible" r:id="rId3"/>
    <sheet xmlns:r="http://schemas.openxmlformats.org/officeDocument/2006/relationships" name="Method Comparison" sheetId="4" state="visible" r:id="rId4"/>
    <sheet xmlns:r="http://schemas.openxmlformats.org/officeDocument/2006/relationships" name="Income Statement" sheetId="5" state="visible" r:id="rId5"/>
    <sheet xmlns:r="http://schemas.openxmlformats.org/officeDocument/2006/relationships" name="Balance Sheet" sheetId="6" state="visible" r:id="rId6"/>
    <sheet xmlns:r="http://schemas.openxmlformats.org/officeDocument/2006/relationships" name="Recommendation Evidence" sheetId="7" state="visible" r:id="rId7"/>
    <sheet xmlns:r="http://schemas.openxmlformats.org/officeDocument/2006/relationships" name="Formula Reference" sheetId="8" state="visible" r:id="rId8"/>
    <sheet xmlns:r="http://schemas.openxmlformats.org/officeDocument/2006/relationships" name="Submission Check" sheetId="9" state="visible" r:id="rId9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$#,##0.00;[Red]($#,##0.00)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4E78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EntryData" displayName="EntryData" ref="A3:G20" headerRowCount="1">
  <autoFilter ref="A3:G20"/>
  <tableColumns count="7">
    <tableColumn id="1" name="Entry ID"/>
    <tableColumn id="2" name="Business Entry"/>
    <tableColumn id="3" name="Amount"/>
    <tableColumn id="4" name="Report"/>
    <tableColumn id="5" name="Section"/>
    <tableColumn id="6" name="Statement Line"/>
    <tableColumn id="7" name="Rea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ssetData" displayName="AssetData" ref="A3:I7" headerRowCount="1">
  <autoFilter ref="A3:I7"/>
  <tableColumns count="9">
    <tableColumn id="1" name="Asset ID"/>
    <tableColumn id="2" name="Description"/>
    <tableColumn id="3" name="Cost"/>
    <tableColumn id="4" name="Salvage Value"/>
    <tableColumn id="5" name="Useful Life"/>
    <tableColumn id="6" name="Purchase Date"/>
    <tableColumn id="7" name="Months in Service"/>
    <tableColumn id="8" name="Depreciable Base"/>
    <tableColumn id="9" name="Asset Clas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pData" displayName="DepData" ref="A3:L7" headerRowCount="1">
  <autoFilter ref="A3:L7"/>
  <tableColumns count="12">
    <tableColumn id="1" name="Asset ID"/>
    <tableColumn id="2" name="Description"/>
    <tableColumn id="3" name="Cost"/>
    <tableColumn id="4" name="Salvage"/>
    <tableColumn id="5" name="Life"/>
    <tableColumn id="6" name="Months"/>
    <tableColumn id="7" name="SLN Full-Year"/>
    <tableColumn id="8" name="DDB Full-Year"/>
    <tableColumn id="9" name="SL Year 1"/>
    <tableColumn id="10" name="DDB Year 1"/>
    <tableColumn id="11" name="SL End BV"/>
    <tableColumn id="12" name="DDB End B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20" customWidth="1" min="4" max="4"/>
    <col width="22" customWidth="1" min="5" max="5"/>
    <col width="24" customWidth="1" min="6" max="6"/>
    <col width="40" customWidth="1" min="7" max="7"/>
  </cols>
  <sheetData>
    <row r="1" ht="24" customHeight="1">
      <c r="A1" s="1" t="inlineStr">
        <is>
          <t>Entry Categories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Entry ID</t>
        </is>
      </c>
      <c r="B3" s="3" t="inlineStr">
        <is>
          <t>Business Entry</t>
        </is>
      </c>
      <c r="C3" s="3" t="inlineStr">
        <is>
          <t>Amount</t>
        </is>
      </c>
      <c r="D3" s="3" t="inlineStr">
        <is>
          <t>Report</t>
        </is>
      </c>
      <c r="E3" s="3" t="inlineStr">
        <is>
          <t>Section</t>
        </is>
      </c>
      <c r="F3" s="3" t="inlineStr">
        <is>
          <t>Statement Line</t>
        </is>
      </c>
      <c r="G3" s="3" t="inlineStr">
        <is>
          <t>Reason</t>
        </is>
      </c>
    </row>
    <row r="4">
      <c r="A4" s="2" t="inlineStr">
        <is>
          <t>E-001</t>
        </is>
      </c>
      <c r="B4" s="2" t="inlineStr">
        <is>
          <t>Product Sales Revenue</t>
        </is>
      </c>
      <c r="C4" s="4" t="n">
        <v>95000</v>
      </c>
      <c r="D4" s="2" t="inlineStr">
        <is>
          <t>Income Statement</t>
        </is>
      </c>
      <c r="E4" s="2" t="inlineStr">
        <is>
          <t>Revenue</t>
        </is>
      </c>
      <c r="F4" s="2" t="inlineStr">
        <is>
          <t>Sales Revenue</t>
        </is>
      </c>
      <c r="G4" s="2" t="inlineStr">
        <is>
          <t>Earned from product sales.</t>
        </is>
      </c>
    </row>
    <row r="5">
      <c r="A5" s="2" t="inlineStr">
        <is>
          <t>E-002</t>
        </is>
      </c>
      <c r="B5" s="2" t="inlineStr">
        <is>
          <t>Service Revenue</t>
        </is>
      </c>
      <c r="C5" s="4" t="n">
        <v>12000</v>
      </c>
      <c r="D5" s="2" t="inlineStr">
        <is>
          <t>Income Statement</t>
        </is>
      </c>
      <c r="E5" s="2" t="inlineStr">
        <is>
          <t>Revenue</t>
        </is>
      </c>
      <c r="F5" s="2" t="inlineStr">
        <is>
          <t>Service Revenue</t>
        </is>
      </c>
      <c r="G5" s="2" t="inlineStr">
        <is>
          <t>Earned from customer service work.</t>
        </is>
      </c>
    </row>
    <row r="6">
      <c r="A6" s="2" t="inlineStr">
        <is>
          <t>E-003</t>
        </is>
      </c>
      <c r="B6" s="2" t="inlineStr">
        <is>
          <t>Direct Product Costs</t>
        </is>
      </c>
      <c r="C6" s="4" t="n">
        <v>38000</v>
      </c>
      <c r="D6" s="2" t="inlineStr">
        <is>
          <t>Income Statement</t>
        </is>
      </c>
      <c r="E6" s="2" t="inlineStr">
        <is>
          <t>Direct Costs</t>
        </is>
      </c>
      <c r="F6" s="2" t="inlineStr">
        <is>
          <t>Cost of Goods Sold</t>
        </is>
      </c>
      <c r="G6" s="2" t="inlineStr">
        <is>
          <t>Costs tied directly to products sold.</t>
        </is>
      </c>
    </row>
    <row r="7">
      <c r="A7" s="2" t="inlineStr">
        <is>
          <t>E-004</t>
        </is>
      </c>
      <c r="B7" s="2" t="inlineStr">
        <is>
          <t>Payroll Expense</t>
        </is>
      </c>
      <c r="C7" s="4" t="n">
        <v>17000</v>
      </c>
      <c r="D7" s="2" t="inlineStr">
        <is>
          <t>Income Statement</t>
        </is>
      </c>
      <c r="E7" s="2" t="inlineStr">
        <is>
          <t>Operating Expenses</t>
        </is>
      </c>
      <c r="F7" s="2" t="inlineStr">
        <is>
          <t>Payroll Expense</t>
        </is>
      </c>
      <c r="G7" s="2" t="inlineStr">
        <is>
          <t>Staff wages for the period.</t>
        </is>
      </c>
    </row>
    <row r="8">
      <c r="A8" s="2" t="inlineStr">
        <is>
          <t>E-005</t>
        </is>
      </c>
      <c r="B8" s="2" t="inlineStr">
        <is>
          <t>Rent Expense</t>
        </is>
      </c>
      <c r="C8" s="4" t="n">
        <v>7200</v>
      </c>
      <c r="D8" s="2" t="inlineStr">
        <is>
          <t>Income Statement</t>
        </is>
      </c>
      <c r="E8" s="2" t="inlineStr">
        <is>
          <t>Operating Expenses</t>
        </is>
      </c>
      <c r="F8" s="2" t="inlineStr">
        <is>
          <t>Rent Expense</t>
        </is>
      </c>
      <c r="G8" s="2" t="inlineStr">
        <is>
          <t>Workspace rent for the period.</t>
        </is>
      </c>
    </row>
    <row r="9">
      <c r="A9" s="2" t="inlineStr">
        <is>
          <t>E-006</t>
        </is>
      </c>
      <c r="B9" s="2" t="inlineStr">
        <is>
          <t>Utilities Expense</t>
        </is>
      </c>
      <c r="C9" s="4" t="n">
        <v>2900</v>
      </c>
      <c r="D9" s="2" t="inlineStr">
        <is>
          <t>Income Statement</t>
        </is>
      </c>
      <c r="E9" s="2" t="inlineStr">
        <is>
          <t>Operating Expenses</t>
        </is>
      </c>
      <c r="F9" s="2" t="inlineStr">
        <is>
          <t>Utilities Expense</t>
        </is>
      </c>
      <c r="G9" s="2" t="inlineStr">
        <is>
          <t>Electricity, internet, and water.</t>
        </is>
      </c>
    </row>
    <row r="10">
      <c r="A10" s="2" t="inlineStr">
        <is>
          <t>E-007</t>
        </is>
      </c>
      <c r="B10" s="2" t="inlineStr">
        <is>
          <t>Insurance Expense</t>
        </is>
      </c>
      <c r="C10" s="4" t="n">
        <v>1800</v>
      </c>
      <c r="D10" s="2" t="inlineStr">
        <is>
          <t>Income Statement</t>
        </is>
      </c>
      <c r="E10" s="2" t="inlineStr">
        <is>
          <t>Operating Expenses</t>
        </is>
      </c>
      <c r="F10" s="2" t="inlineStr">
        <is>
          <t>Insurance Expense</t>
        </is>
      </c>
      <c r="G10" s="2" t="inlineStr">
        <is>
          <t>Insurance used during the year.</t>
        </is>
      </c>
    </row>
    <row r="11">
      <c r="A11" s="2" t="inlineStr">
        <is>
          <t>E-008</t>
        </is>
      </c>
      <c r="B11" s="2" t="inlineStr">
        <is>
          <t>Advertising Expense</t>
        </is>
      </c>
      <c r="C11" s="4" t="n">
        <v>3500</v>
      </c>
      <c r="D11" s="2" t="inlineStr">
        <is>
          <t>Income Statement</t>
        </is>
      </c>
      <c r="E11" s="2" t="inlineStr">
        <is>
          <t>Operating Expenses</t>
        </is>
      </c>
      <c r="F11" s="2" t="inlineStr">
        <is>
          <t>Advertising Expense</t>
        </is>
      </c>
      <c r="G11" s="2" t="inlineStr">
        <is>
          <t>Promotion for the period.</t>
        </is>
      </c>
    </row>
    <row r="12">
      <c r="A12" s="2" t="inlineStr">
        <is>
          <t>E-009</t>
        </is>
      </c>
      <c r="B12" s="2" t="inlineStr">
        <is>
          <t>Interest on Bank Loan</t>
        </is>
      </c>
      <c r="C12" s="4" t="n">
        <v>1600</v>
      </c>
      <c r="D12" s="2" t="inlineStr">
        <is>
          <t>Income Statement</t>
        </is>
      </c>
      <c r="E12" s="2" t="inlineStr">
        <is>
          <t>Other Expense</t>
        </is>
      </c>
      <c r="F12" s="2" t="inlineStr">
        <is>
          <t>Interest Expense</t>
        </is>
      </c>
      <c r="G12" s="2" t="inlineStr">
        <is>
          <t>Cost of borrowing.</t>
        </is>
      </c>
    </row>
    <row r="13">
      <c r="A13" s="2" t="inlineStr">
        <is>
          <t>E-010</t>
        </is>
      </c>
      <c r="B13" s="2" t="inlineStr">
        <is>
          <t>Cash in Bank</t>
        </is>
      </c>
      <c r="C13" s="4" t="n">
        <v>24500</v>
      </c>
      <c r="D13" s="2" t="inlineStr">
        <is>
          <t>Balance Sheet</t>
        </is>
      </c>
      <c r="E13" s="2" t="inlineStr">
        <is>
          <t>Current Assets</t>
        </is>
      </c>
      <c r="F13" s="2" t="inlineStr">
        <is>
          <t>Cash</t>
        </is>
      </c>
      <c r="G13" s="2" t="inlineStr">
        <is>
          <t>Cash still owned at year-end.</t>
        </is>
      </c>
    </row>
    <row r="14">
      <c r="A14" s="2" t="inlineStr">
        <is>
          <t>E-011</t>
        </is>
      </c>
      <c r="B14" s="2" t="inlineStr">
        <is>
          <t>Accounts Receivable</t>
        </is>
      </c>
      <c r="C14" s="4" t="n">
        <v>9700</v>
      </c>
      <c r="D14" s="2" t="inlineStr">
        <is>
          <t>Balance Sheet</t>
        </is>
      </c>
      <c r="E14" s="2" t="inlineStr">
        <is>
          <t>Current Assets</t>
        </is>
      </c>
      <c r="F14" s="2" t="inlineStr">
        <is>
          <t>Accounts Receivable</t>
        </is>
      </c>
      <c r="G14" s="2" t="inlineStr">
        <is>
          <t>Customers owe this amount.</t>
        </is>
      </c>
    </row>
    <row r="15">
      <c r="A15" s="2" t="inlineStr">
        <is>
          <t>E-012</t>
        </is>
      </c>
      <c r="B15" s="2" t="inlineStr">
        <is>
          <t>Inventory</t>
        </is>
      </c>
      <c r="C15" s="4" t="n">
        <v>14300</v>
      </c>
      <c r="D15" s="2" t="inlineStr">
        <is>
          <t>Balance Sheet</t>
        </is>
      </c>
      <c r="E15" s="2" t="inlineStr">
        <is>
          <t>Current Assets</t>
        </is>
      </c>
      <c r="F15" s="2" t="inlineStr">
        <is>
          <t>Inventory</t>
        </is>
      </c>
      <c r="G15" s="2" t="inlineStr">
        <is>
          <t>Products still on hand.</t>
        </is>
      </c>
    </row>
    <row r="16">
      <c r="A16" s="2" t="inlineStr">
        <is>
          <t>E-013</t>
        </is>
      </c>
      <c r="B16" s="2" t="inlineStr">
        <is>
          <t>Supplies</t>
        </is>
      </c>
      <c r="C16" s="4" t="n">
        <v>2200</v>
      </c>
      <c r="D16" s="2" t="inlineStr">
        <is>
          <t>Balance Sheet</t>
        </is>
      </c>
      <c r="E16" s="2" t="inlineStr">
        <is>
          <t>Current Assets</t>
        </is>
      </c>
      <c r="F16" s="2" t="inlineStr">
        <is>
          <t>Supplies</t>
        </is>
      </c>
      <c r="G16" s="2" t="inlineStr">
        <is>
          <t>Unused supplies on hand.</t>
        </is>
      </c>
    </row>
    <row r="17">
      <c r="A17" s="2" t="inlineStr">
        <is>
          <t>E-014</t>
        </is>
      </c>
      <c r="B17" s="2" t="inlineStr">
        <is>
          <t>Accounts Payable</t>
        </is>
      </c>
      <c r="C17" s="4" t="n">
        <v>10800</v>
      </c>
      <c r="D17" s="2" t="inlineStr">
        <is>
          <t>Balance Sheet</t>
        </is>
      </c>
      <c r="E17" s="2" t="inlineStr">
        <is>
          <t>Liabilities</t>
        </is>
      </c>
      <c r="F17" s="2" t="inlineStr">
        <is>
          <t>Accounts Payable</t>
        </is>
      </c>
      <c r="G17" s="2" t="inlineStr">
        <is>
          <t>Amounts owed to suppliers.</t>
        </is>
      </c>
    </row>
    <row r="18">
      <c r="A18" s="2" t="inlineStr">
        <is>
          <t>E-015</t>
        </is>
      </c>
      <c r="B18" s="2" t="inlineStr">
        <is>
          <t>Bank Loan Payable</t>
        </is>
      </c>
      <c r="C18" s="4" t="n">
        <v>42000</v>
      </c>
      <c r="D18" s="2" t="inlineStr">
        <is>
          <t>Balance Sheet</t>
        </is>
      </c>
      <c r="E18" s="2" t="inlineStr">
        <is>
          <t>Liabilities</t>
        </is>
      </c>
      <c r="F18" s="2" t="inlineStr">
        <is>
          <t>Loan Payable</t>
        </is>
      </c>
      <c r="G18" s="2" t="inlineStr">
        <is>
          <t>Principal still owed.</t>
        </is>
      </c>
    </row>
    <row r="19">
      <c r="A19" s="2" t="inlineStr">
        <is>
          <t>E-016</t>
        </is>
      </c>
      <c r="B19" s="2" t="inlineStr">
        <is>
          <t>Owner Capital</t>
        </is>
      </c>
      <c r="C19" s="4" t="n">
        <v>30900</v>
      </c>
      <c r="D19" s="2" t="inlineStr">
        <is>
          <t>Balance Sheet</t>
        </is>
      </c>
      <c r="E19" s="2" t="inlineStr">
        <is>
          <t>Equity</t>
        </is>
      </c>
      <c r="F19" s="2" t="inlineStr">
        <is>
          <t>Owner Capital</t>
        </is>
      </c>
      <c r="G19" s="2" t="inlineStr">
        <is>
          <t>Owner investment in the company.</t>
        </is>
      </c>
    </row>
    <row r="20">
      <c r="A20" s="2" t="inlineStr">
        <is>
          <t>E-017</t>
        </is>
      </c>
      <c r="B20" s="2" t="inlineStr">
        <is>
          <t>Fixed Assets at Cost</t>
        </is>
      </c>
      <c r="C20" s="4">
        <f>SUM(AssetData[Cost])</f>
        <v/>
      </c>
      <c r="D20" s="2" t="inlineStr">
        <is>
          <t>Balance Sheet</t>
        </is>
      </c>
      <c r="E20" s="2" t="inlineStr">
        <is>
          <t>Fixed Assets</t>
        </is>
      </c>
      <c r="F20" s="2" t="inlineStr">
        <is>
          <t>Fixed Assets at Cost</t>
        </is>
      </c>
      <c r="G20" s="2" t="inlineStr">
        <is>
          <t>Linked from the asset register.</t>
        </is>
      </c>
    </row>
  </sheetData>
  <mergeCells count="1">
    <mergeCell ref="A1:G1"/>
  </mergeCells>
  <dataValidations count="3">
    <dataValidation sqref="D4:D20" showDropDown="0" showInputMessage="0" showErrorMessage="0" allowBlank="1" type="list">
      <formula1>"Income Statement,Balance Sheet"</formula1>
    </dataValidation>
    <dataValidation sqref="E4:E20" showDropDown="0" showInputMessage="0" showErrorMessage="0" allowBlank="1" type="list">
      <formula1>"Revenue,Direct Costs,Operating Expenses,Other Expense,Current Assets,Fixed Assets,Liabilities,Equity"</formula1>
    </dataValidation>
    <dataValidation sqref="F4:F20" showDropDown="0" showInputMessage="0" showErrorMessage="0" allowBlank="1" type="list">
      <formula1>"Sales Revenue,Service Revenue,Cost of Goods Sold,Payroll Expense,Rent Expense,Utilities Expense,Insurance Expense,Advertising Expense,Interest Expense,Cash,Accounts Receivable,Inventory,Supplies,Fixed Assets at Cost,Accounts Payable,Loan Payable,Owner Capital"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14" customWidth="1" min="4" max="4"/>
    <col width="12" customWidth="1" min="5" max="5"/>
    <col width="14" customWidth="1" min="6" max="6"/>
    <col width="16" customWidth="1" min="7" max="7"/>
    <col width="16" customWidth="1" min="8" max="8"/>
    <col width="16" customWidth="1" min="9" max="9"/>
  </cols>
  <sheetData>
    <row r="1" ht="24" customHeight="1">
      <c r="A1" s="1" t="inlineStr">
        <is>
          <t>Asset Register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Asset ID</t>
        </is>
      </c>
      <c r="B3" s="3" t="inlineStr">
        <is>
          <t>Description</t>
        </is>
      </c>
      <c r="C3" s="3" t="inlineStr">
        <is>
          <t>Cost</t>
        </is>
      </c>
      <c r="D3" s="3" t="inlineStr">
        <is>
          <t>Salvage Value</t>
        </is>
      </c>
      <c r="E3" s="3" t="inlineStr">
        <is>
          <t>Useful Life</t>
        </is>
      </c>
      <c r="F3" s="3" t="inlineStr">
        <is>
          <t>Purchase Date</t>
        </is>
      </c>
      <c r="G3" s="3" t="inlineStr">
        <is>
          <t>Months in Service</t>
        </is>
      </c>
      <c r="H3" s="3" t="inlineStr">
        <is>
          <t>Depreciable Base</t>
        </is>
      </c>
      <c r="I3" s="3" t="inlineStr">
        <is>
          <t>Asset Class</t>
        </is>
      </c>
    </row>
    <row r="4">
      <c r="A4" s="2" t="inlineStr">
        <is>
          <t>A-001</t>
        </is>
      </c>
      <c r="B4" s="2" t="inlineStr">
        <is>
          <t>Delivery Van</t>
        </is>
      </c>
      <c r="C4" s="4" t="n">
        <v>30000</v>
      </c>
      <c r="D4" s="4" t="n">
        <v>5000</v>
      </c>
      <c r="E4" s="2" t="n">
        <v>5</v>
      </c>
      <c r="F4" s="2" t="inlineStr">
        <is>
          <t>2025-04-01</t>
        </is>
      </c>
      <c r="G4" s="2" t="n">
        <v>9</v>
      </c>
      <c r="H4" s="4">
        <f>C4-D4</f>
        <v/>
      </c>
      <c r="I4" s="2" t="n"/>
    </row>
    <row r="5">
      <c r="A5" s="2" t="inlineStr">
        <is>
          <t>A-002</t>
        </is>
      </c>
      <c r="B5" s="2" t="inlineStr">
        <is>
          <t>POS &amp; Laptop Package</t>
        </is>
      </c>
      <c r="C5" s="4" t="n">
        <v>12000</v>
      </c>
      <c r="D5" s="4" t="n">
        <v>2000</v>
      </c>
      <c r="E5" s="2" t="n">
        <v>4</v>
      </c>
      <c r="F5" s="2" t="inlineStr">
        <is>
          <t>2025-07-01</t>
        </is>
      </c>
      <c r="G5" s="2" t="n">
        <v>6</v>
      </c>
      <c r="H5" s="4">
        <f>C5-D5</f>
        <v/>
      </c>
      <c r="I5" s="2" t="n"/>
    </row>
    <row r="6">
      <c r="A6" s="2" t="inlineStr">
        <is>
          <t>A-003</t>
        </is>
      </c>
      <c r="B6" s="2" t="inlineStr">
        <is>
          <t>Server &amp; Security System</t>
        </is>
      </c>
      <c r="C6" s="4" t="n">
        <v>8000</v>
      </c>
      <c r="D6" s="4" t="n">
        <v>800</v>
      </c>
      <c r="E6" s="2" t="n">
        <v>3</v>
      </c>
      <c r="F6" s="2" t="inlineStr">
        <is>
          <t>2025-10-01</t>
        </is>
      </c>
      <c r="G6" s="2" t="n">
        <v>3</v>
      </c>
      <c r="H6" s="4">
        <f>C6-D6</f>
        <v/>
      </c>
      <c r="I6" s="2" t="n"/>
    </row>
    <row r="7">
      <c r="A7" s="2" t="inlineStr">
        <is>
          <t>A-004</t>
        </is>
      </c>
      <c r="B7" s="2" t="inlineStr">
        <is>
          <t>Workshop Equipment</t>
        </is>
      </c>
      <c r="C7" s="4" t="n">
        <v>18000</v>
      </c>
      <c r="D7" s="4" t="n">
        <v>3000</v>
      </c>
      <c r="E7" s="2" t="n">
        <v>6</v>
      </c>
      <c r="F7" s="2" t="inlineStr">
        <is>
          <t>2025-03-01</t>
        </is>
      </c>
      <c r="G7" s="2" t="n">
        <v>10</v>
      </c>
      <c r="H7" s="4">
        <f>C7-D7</f>
        <v/>
      </c>
      <c r="I7" s="2" t="n"/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14" customWidth="1" min="4" max="4"/>
    <col width="10" customWidth="1" min="5" max="5"/>
    <col width="10" customWidth="1" min="6" max="6"/>
    <col width="15" customWidth="1" min="7" max="7"/>
    <col width="15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4" customHeight="1">
      <c r="A1" s="1" t="inlineStr">
        <is>
          <t>Partial-Year Depreciation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Asset ID</t>
        </is>
      </c>
      <c r="B3" s="3" t="inlineStr">
        <is>
          <t>Description</t>
        </is>
      </c>
      <c r="C3" s="3" t="inlineStr">
        <is>
          <t>Cost</t>
        </is>
      </c>
      <c r="D3" s="3" t="inlineStr">
        <is>
          <t>Salvage</t>
        </is>
      </c>
      <c r="E3" s="3" t="inlineStr">
        <is>
          <t>Life</t>
        </is>
      </c>
      <c r="F3" s="3" t="inlineStr">
        <is>
          <t>Months</t>
        </is>
      </c>
      <c r="G3" s="3" t="inlineStr">
        <is>
          <t>SLN Full-Year</t>
        </is>
      </c>
      <c r="H3" s="3" t="inlineStr">
        <is>
          <t>DDB Full-Year</t>
        </is>
      </c>
      <c r="I3" s="3" t="inlineStr">
        <is>
          <t>SL Year 1</t>
        </is>
      </c>
      <c r="J3" s="3" t="inlineStr">
        <is>
          <t>DDB Year 1</t>
        </is>
      </c>
      <c r="K3" s="3" t="inlineStr">
        <is>
          <t>SL End BV</t>
        </is>
      </c>
      <c r="L3" s="3" t="inlineStr">
        <is>
          <t>DDB End BV</t>
        </is>
      </c>
    </row>
    <row r="4">
      <c r="A4" s="2" t="inlineStr">
        <is>
          <t>A-001</t>
        </is>
      </c>
      <c r="B4" s="2">
        <f>XLOOKUP(A4,AssetData[Asset ID],AssetData[Description])</f>
        <v/>
      </c>
      <c r="C4" s="4">
        <f>XLOOKUP(A4,AssetData[Asset ID],AssetData[Cost])</f>
        <v/>
      </c>
      <c r="D4" s="4">
        <f>XLOOKUP(A4,AssetData[Asset ID],AssetData[Salvage Value])</f>
        <v/>
      </c>
      <c r="E4" s="2">
        <f>XLOOKUP(A4,AssetData[Asset ID],AssetData[Useful Life])</f>
        <v/>
      </c>
      <c r="F4" s="2">
        <f>XLOOKUP(A4,AssetData[Asset ID],AssetData[Months in Service])</f>
        <v/>
      </c>
      <c r="G4" s="4">
        <f>SLN(C4,D4,E4)</f>
        <v/>
      </c>
      <c r="H4" s="4">
        <f>DDB(C4,D4,E4,1)</f>
        <v/>
      </c>
      <c r="I4" s="4">
        <f>G4*F4/12</f>
        <v/>
      </c>
      <c r="J4" s="4">
        <f>H4*F4/12</f>
        <v/>
      </c>
      <c r="K4" s="4">
        <f>C4-I4</f>
        <v/>
      </c>
      <c r="L4" s="4">
        <f>C4-J4</f>
        <v/>
      </c>
    </row>
    <row r="5">
      <c r="A5" s="2" t="inlineStr">
        <is>
          <t>A-002</t>
        </is>
      </c>
      <c r="B5" s="2">
        <f>XLOOKUP(A5,AssetData[Asset ID],AssetData[Description])</f>
        <v/>
      </c>
      <c r="C5" s="4">
        <f>XLOOKUP(A5,AssetData[Asset ID],AssetData[Cost])</f>
        <v/>
      </c>
      <c r="D5" s="4">
        <f>XLOOKUP(A5,AssetData[Asset ID],AssetData[Salvage Value])</f>
        <v/>
      </c>
      <c r="E5" s="2">
        <f>XLOOKUP(A5,AssetData[Asset ID],AssetData[Useful Life])</f>
        <v/>
      </c>
      <c r="F5" s="2">
        <f>XLOOKUP(A5,AssetData[Asset ID],AssetData[Months in Service])</f>
        <v/>
      </c>
      <c r="G5" s="4">
        <f>SLN(C5,D5,E5)</f>
        <v/>
      </c>
      <c r="H5" s="4">
        <f>DDB(C5,D5,E5,1)</f>
        <v/>
      </c>
      <c r="I5" s="4">
        <f>G5*F5/12</f>
        <v/>
      </c>
      <c r="J5" s="4">
        <f>H5*F5/12</f>
        <v/>
      </c>
      <c r="K5" s="4">
        <f>C5-I5</f>
        <v/>
      </c>
      <c r="L5" s="4">
        <f>C5-J5</f>
        <v/>
      </c>
    </row>
    <row r="6">
      <c r="A6" s="2" t="inlineStr">
        <is>
          <t>A-003</t>
        </is>
      </c>
      <c r="B6" s="2">
        <f>XLOOKUP(A6,AssetData[Asset ID],AssetData[Description])</f>
        <v/>
      </c>
      <c r="C6" s="4">
        <f>XLOOKUP(A6,AssetData[Asset ID],AssetData[Cost])</f>
        <v/>
      </c>
      <c r="D6" s="4">
        <f>XLOOKUP(A6,AssetData[Asset ID],AssetData[Salvage Value])</f>
        <v/>
      </c>
      <c r="E6" s="2">
        <f>XLOOKUP(A6,AssetData[Asset ID],AssetData[Useful Life])</f>
        <v/>
      </c>
      <c r="F6" s="2">
        <f>XLOOKUP(A6,AssetData[Asset ID],AssetData[Months in Service])</f>
        <v/>
      </c>
      <c r="G6" s="4">
        <f>SLN(C6,D6,E6)</f>
        <v/>
      </c>
      <c r="H6" s="4">
        <f>DDB(C6,D6,E6,1)</f>
        <v/>
      </c>
      <c r="I6" s="4">
        <f>G6*F6/12</f>
        <v/>
      </c>
      <c r="J6" s="4">
        <f>H6*F6/12</f>
        <v/>
      </c>
      <c r="K6" s="4">
        <f>C6-I6</f>
        <v/>
      </c>
      <c r="L6" s="4">
        <f>C6-J6</f>
        <v/>
      </c>
    </row>
    <row r="7">
      <c r="A7" s="2" t="inlineStr">
        <is>
          <t>A-004</t>
        </is>
      </c>
      <c r="B7" s="2">
        <f>XLOOKUP(A7,AssetData[Asset ID],AssetData[Description])</f>
        <v/>
      </c>
      <c r="C7" s="4">
        <f>XLOOKUP(A7,AssetData[Asset ID],AssetData[Cost])</f>
        <v/>
      </c>
      <c r="D7" s="4">
        <f>XLOOKUP(A7,AssetData[Asset ID],AssetData[Salvage Value])</f>
        <v/>
      </c>
      <c r="E7" s="2">
        <f>XLOOKUP(A7,AssetData[Asset ID],AssetData[Useful Life])</f>
        <v/>
      </c>
      <c r="F7" s="2">
        <f>XLOOKUP(A7,AssetData[Asset ID],AssetData[Months in Service])</f>
        <v/>
      </c>
      <c r="G7" s="4">
        <f>SLN(C7,D7,E7)</f>
        <v/>
      </c>
      <c r="H7" s="4">
        <f>DDB(C7,D7,E7,1)</f>
        <v/>
      </c>
      <c r="I7" s="4">
        <f>G7*F7/12</f>
        <v/>
      </c>
      <c r="J7" s="4">
        <f>H7*F7/12</f>
        <v/>
      </c>
      <c r="K7" s="4">
        <f>C7-I7</f>
        <v/>
      </c>
      <c r="L7" s="4">
        <f>C7-J7</f>
        <v/>
      </c>
    </row>
  </sheetData>
  <mergeCells count="1"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1" ht="24" customHeight="1">
      <c r="A1" s="1" t="inlineStr">
        <is>
          <t>Method Comparison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Asset ID</t>
        </is>
      </c>
      <c r="B3" s="3" t="inlineStr">
        <is>
          <t>Description</t>
        </is>
      </c>
      <c r="C3" s="3" t="inlineStr">
        <is>
          <t>Months</t>
        </is>
      </c>
      <c r="D3" s="3" t="inlineStr">
        <is>
          <t>SL Year 1</t>
        </is>
      </c>
      <c r="E3" s="3" t="inlineStr">
        <is>
          <t>DDB Year 1</t>
        </is>
      </c>
      <c r="F3" s="3" t="inlineStr">
        <is>
          <t>DDB Higher By</t>
        </is>
      </c>
      <c r="G3" s="3" t="inlineStr">
        <is>
          <t>SL End BV</t>
        </is>
      </c>
      <c r="H3" s="3" t="inlineStr">
        <is>
          <t>DDB End BV</t>
        </is>
      </c>
      <c r="I3" s="3" t="inlineStr">
        <is>
          <t>BV Difference</t>
        </is>
      </c>
      <c r="J3" s="3" t="inlineStr">
        <is>
          <t>Profit Signal</t>
        </is>
      </c>
    </row>
    <row r="4">
      <c r="A4" s="2" t="inlineStr">
        <is>
          <t>A-001</t>
        </is>
      </c>
      <c r="B4" s="2">
        <f>'Partial-Year Depreciation'!B4</f>
        <v/>
      </c>
      <c r="C4" s="2">
        <f>'Partial-Year Depreciation'!F4</f>
        <v/>
      </c>
      <c r="D4" s="4">
        <f>'Partial-Year Depreciation'!I4</f>
        <v/>
      </c>
      <c r="E4" s="4">
        <f>'Partial-Year Depreciation'!J4</f>
        <v/>
      </c>
      <c r="F4" s="4">
        <f>E4-D4</f>
        <v/>
      </c>
      <c r="G4" s="4">
        <f>'Partial-Year Depreciation'!K4</f>
        <v/>
      </c>
      <c r="H4" s="4">
        <f>'Partial-Year Depreciation'!L4</f>
        <v/>
      </c>
      <c r="I4" s="4">
        <f>H4-G4</f>
        <v/>
      </c>
      <c r="J4" s="2">
        <f>IF(F4&gt;0,"DDB lowers Year 1 profit more","No acceleration impact")</f>
        <v/>
      </c>
    </row>
    <row r="5">
      <c r="A5" s="2" t="inlineStr">
        <is>
          <t>A-002</t>
        </is>
      </c>
      <c r="B5" s="2">
        <f>'Partial-Year Depreciation'!B5</f>
        <v/>
      </c>
      <c r="C5" s="2">
        <f>'Partial-Year Depreciation'!F5</f>
        <v/>
      </c>
      <c r="D5" s="4">
        <f>'Partial-Year Depreciation'!I5</f>
        <v/>
      </c>
      <c r="E5" s="4">
        <f>'Partial-Year Depreciation'!J5</f>
        <v/>
      </c>
      <c r="F5" s="4">
        <f>E5-D5</f>
        <v/>
      </c>
      <c r="G5" s="4">
        <f>'Partial-Year Depreciation'!K5</f>
        <v/>
      </c>
      <c r="H5" s="4">
        <f>'Partial-Year Depreciation'!L5</f>
        <v/>
      </c>
      <c r="I5" s="4">
        <f>H5-G5</f>
        <v/>
      </c>
      <c r="J5" s="2">
        <f>IF(F5&gt;0,"DDB lowers Year 1 profit more","No acceleration impact")</f>
        <v/>
      </c>
    </row>
    <row r="6">
      <c r="A6" s="2" t="inlineStr">
        <is>
          <t>A-003</t>
        </is>
      </c>
      <c r="B6" s="2">
        <f>'Partial-Year Depreciation'!B6</f>
        <v/>
      </c>
      <c r="C6" s="2">
        <f>'Partial-Year Depreciation'!F6</f>
        <v/>
      </c>
      <c r="D6" s="4">
        <f>'Partial-Year Depreciation'!I6</f>
        <v/>
      </c>
      <c r="E6" s="4">
        <f>'Partial-Year Depreciation'!J6</f>
        <v/>
      </c>
      <c r="F6" s="4">
        <f>E6-D6</f>
        <v/>
      </c>
      <c r="G6" s="4">
        <f>'Partial-Year Depreciation'!K6</f>
        <v/>
      </c>
      <c r="H6" s="4">
        <f>'Partial-Year Depreciation'!L6</f>
        <v/>
      </c>
      <c r="I6" s="4">
        <f>H6-G6</f>
        <v/>
      </c>
      <c r="J6" s="2">
        <f>IF(F6&gt;0,"DDB lowers Year 1 profit more","No acceleration impact")</f>
        <v/>
      </c>
    </row>
    <row r="7">
      <c r="A7" s="2" t="inlineStr">
        <is>
          <t>A-004</t>
        </is>
      </c>
      <c r="B7" s="2">
        <f>'Partial-Year Depreciation'!B7</f>
        <v/>
      </c>
      <c r="C7" s="2">
        <f>'Partial-Year Depreciation'!F7</f>
        <v/>
      </c>
      <c r="D7" s="4">
        <f>'Partial-Year Depreciation'!I7</f>
        <v/>
      </c>
      <c r="E7" s="4">
        <f>'Partial-Year Depreciation'!J7</f>
        <v/>
      </c>
      <c r="F7" s="4">
        <f>E7-D7</f>
        <v/>
      </c>
      <c r="G7" s="4">
        <f>'Partial-Year Depreciation'!K7</f>
        <v/>
      </c>
      <c r="H7" s="4">
        <f>'Partial-Year Depreciation'!L7</f>
        <v/>
      </c>
      <c r="I7" s="4">
        <f>H7-G7</f>
        <v/>
      </c>
      <c r="J7" s="2">
        <f>IF(F7&gt;0,"DDB lowers Year 1 profit more","No acceleration impact")</f>
        <v/>
      </c>
    </row>
    <row r="8">
      <c r="A8" s="2" t="inlineStr">
        <is>
          <t>TOTAL</t>
        </is>
      </c>
      <c r="B8" s="2" t="n"/>
      <c r="C8" s="2" t="n"/>
      <c r="D8" s="4">
        <f>SUM(D4:D7)</f>
        <v/>
      </c>
      <c r="E8" s="4">
        <f>SUM(E4:E7)</f>
        <v/>
      </c>
      <c r="F8" s="4">
        <f>SUM(F4:F7)</f>
        <v/>
      </c>
      <c r="G8" s="4">
        <f>SUM(G4:G7)</f>
        <v/>
      </c>
      <c r="H8" s="4">
        <f>SUM(H4:H7)</f>
        <v/>
      </c>
      <c r="I8" s="4">
        <f>SUM(I4:I7)</f>
        <v/>
      </c>
      <c r="J8" s="2" t="inlineStr">
        <is>
          <t>Use totals for statement evidence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6" customWidth="1" min="2" max="2"/>
    <col width="16" customWidth="1" min="3" max="3"/>
    <col width="16" customWidth="1" min="4" max="4"/>
  </cols>
  <sheetData>
    <row r="1" ht="24" customHeight="1">
      <c r="A1" s="1" t="inlineStr">
        <is>
          <t>Income Statement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Line Item</t>
        </is>
      </c>
      <c r="B3" s="3" t="inlineStr">
        <is>
          <t>Straight-Line</t>
        </is>
      </c>
      <c r="C3" s="3" t="inlineStr">
        <is>
          <t>DDB</t>
        </is>
      </c>
      <c r="D3" s="3" t="inlineStr">
        <is>
          <t>DDB Impact</t>
        </is>
      </c>
    </row>
    <row r="4">
      <c r="A4" s="2" t="inlineStr">
        <is>
          <t>Sales Revenue</t>
        </is>
      </c>
      <c r="B4" s="4">
        <f>SUMIF(EntryData[Statement Line],A4,EntryData[Amount])</f>
        <v/>
      </c>
      <c r="C4" s="4">
        <f>B4</f>
        <v/>
      </c>
      <c r="D4" s="4">
        <f>C4-B4</f>
        <v/>
      </c>
    </row>
    <row r="5">
      <c r="A5" s="2" t="inlineStr">
        <is>
          <t>Service Revenue</t>
        </is>
      </c>
      <c r="B5" s="4">
        <f>SUMIF(EntryData[Statement Line],A5,EntryData[Amount])</f>
        <v/>
      </c>
      <c r="C5" s="4">
        <f>B5</f>
        <v/>
      </c>
      <c r="D5" s="4">
        <f>C5-B5</f>
        <v/>
      </c>
    </row>
    <row r="6">
      <c r="A6" s="5" t="inlineStr">
        <is>
          <t>Total Revenue</t>
        </is>
      </c>
      <c r="B6" s="6">
        <f>SUM(B4:B5)</f>
        <v/>
      </c>
      <c r="C6" s="6">
        <f>SUM(C4:C5)</f>
        <v/>
      </c>
      <c r="D6" s="6">
        <f>C6-B6</f>
        <v/>
      </c>
    </row>
    <row r="7">
      <c r="A7" s="2" t="inlineStr">
        <is>
          <t>Cost of Goods Sold</t>
        </is>
      </c>
      <c r="B7" s="4">
        <f>SUMIF(EntryData[Statement Line],A7,EntryData[Amount])</f>
        <v/>
      </c>
      <c r="C7" s="4">
        <f>B7</f>
        <v/>
      </c>
      <c r="D7" s="4">
        <f>C7-B7</f>
        <v/>
      </c>
    </row>
    <row r="8">
      <c r="A8" s="5" t="inlineStr">
        <is>
          <t>Gross Profit</t>
        </is>
      </c>
      <c r="B8" s="6">
        <f>B6-B7</f>
        <v/>
      </c>
      <c r="C8" s="6">
        <f>C6-C7</f>
        <v/>
      </c>
      <c r="D8" s="6">
        <f>C8-B8</f>
        <v/>
      </c>
    </row>
    <row r="9">
      <c r="A9" s="2" t="n"/>
      <c r="B9" s="4" t="n"/>
      <c r="C9" s="4" t="n"/>
      <c r="D9" s="4" t="n"/>
    </row>
    <row r="10">
      <c r="A10" s="2" t="inlineStr">
        <is>
          <t>Payroll Expense</t>
        </is>
      </c>
      <c r="B10" s="4">
        <f>SUMIF(EntryData[Statement Line],A10,EntryData[Amount])</f>
        <v/>
      </c>
      <c r="C10" s="4">
        <f>B10</f>
        <v/>
      </c>
      <c r="D10" s="4">
        <f>C10-B10</f>
        <v/>
      </c>
    </row>
    <row r="11">
      <c r="A11" s="2" t="inlineStr">
        <is>
          <t>Rent Expense</t>
        </is>
      </c>
      <c r="B11" s="4">
        <f>SUMIF(EntryData[Statement Line],A11,EntryData[Amount])</f>
        <v/>
      </c>
      <c r="C11" s="4">
        <f>B11</f>
        <v/>
      </c>
      <c r="D11" s="4">
        <f>C11-B11</f>
        <v/>
      </c>
    </row>
    <row r="12">
      <c r="A12" s="2" t="inlineStr">
        <is>
          <t>Utilities Expense</t>
        </is>
      </c>
      <c r="B12" s="4">
        <f>SUMIF(EntryData[Statement Line],A12,EntryData[Amount])</f>
        <v/>
      </c>
      <c r="C12" s="4">
        <f>B12</f>
        <v/>
      </c>
      <c r="D12" s="4">
        <f>C12-B12</f>
        <v/>
      </c>
    </row>
    <row r="13">
      <c r="A13" s="2" t="inlineStr">
        <is>
          <t>Insurance Expense</t>
        </is>
      </c>
      <c r="B13" s="4">
        <f>SUMIF(EntryData[Statement Line],A13,EntryData[Amount])</f>
        <v/>
      </c>
      <c r="C13" s="4">
        <f>B13</f>
        <v/>
      </c>
      <c r="D13" s="4">
        <f>C13-B13</f>
        <v/>
      </c>
    </row>
    <row r="14">
      <c r="A14" s="2" t="inlineStr">
        <is>
          <t>Advertising Expense</t>
        </is>
      </c>
      <c r="B14" s="4">
        <f>SUMIF(EntryData[Statement Line],A14,EntryData[Amount])</f>
        <v/>
      </c>
      <c r="C14" s="4">
        <f>B14</f>
        <v/>
      </c>
      <c r="D14" s="4">
        <f>C14-B14</f>
        <v/>
      </c>
    </row>
    <row r="15">
      <c r="A15" s="2" t="inlineStr">
        <is>
          <t>Depreciation Expense</t>
        </is>
      </c>
      <c r="B15" s="4">
        <f>'Method Comparison'!D8</f>
        <v/>
      </c>
      <c r="C15" s="4">
        <f>'Method Comparison'!E8</f>
        <v/>
      </c>
      <c r="D15" s="4">
        <f>C15-B15</f>
        <v/>
      </c>
    </row>
    <row r="16">
      <c r="A16" s="5" t="inlineStr">
        <is>
          <t>Total Operating Expenses</t>
        </is>
      </c>
      <c r="B16" s="6">
        <f>SUM(B10:B15)</f>
        <v/>
      </c>
      <c r="C16" s="6">
        <f>SUM(C10:C15)</f>
        <v/>
      </c>
      <c r="D16" s="6">
        <f>C16-B16</f>
        <v/>
      </c>
    </row>
    <row r="17">
      <c r="A17" s="5" t="inlineStr">
        <is>
          <t>Operating Income</t>
        </is>
      </c>
      <c r="B17" s="6">
        <f>B8-B16</f>
        <v/>
      </c>
      <c r="C17" s="6">
        <f>C8-C16</f>
        <v/>
      </c>
      <c r="D17" s="6">
        <f>C17-B17</f>
        <v/>
      </c>
    </row>
    <row r="18">
      <c r="A18" s="2" t="n"/>
      <c r="B18" s="4" t="n"/>
      <c r="C18" s="4" t="n"/>
      <c r="D18" s="4" t="n"/>
    </row>
    <row r="19">
      <c r="A19" s="2" t="inlineStr">
        <is>
          <t>Interest Expense</t>
        </is>
      </c>
      <c r="B19" s="4">
        <f>SUMIF(EntryData[Statement Line],A19,EntryData[Amount])</f>
        <v/>
      </c>
      <c r="C19" s="4">
        <f>B19</f>
        <v/>
      </c>
      <c r="D19" s="4">
        <f>C19-B19</f>
        <v/>
      </c>
    </row>
    <row r="20">
      <c r="A20" s="5" t="inlineStr">
        <is>
          <t>Net Income</t>
        </is>
      </c>
      <c r="B20" s="6">
        <f>B17-B19</f>
        <v/>
      </c>
      <c r="C20" s="6">
        <f>C17-C19</f>
        <v/>
      </c>
      <c r="D20" s="6">
        <f>C20-B20</f>
        <v/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6" customWidth="1" min="2" max="2"/>
    <col width="16" customWidth="1" min="3" max="3"/>
    <col width="16" customWidth="1" min="4" max="4"/>
  </cols>
  <sheetData>
    <row r="1" ht="24" customHeight="1">
      <c r="A1" s="1" t="inlineStr">
        <is>
          <t>Balance Sheet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Line Item</t>
        </is>
      </c>
      <c r="B3" s="3" t="inlineStr">
        <is>
          <t>Straight-Line</t>
        </is>
      </c>
      <c r="C3" s="3" t="inlineStr">
        <is>
          <t>DDB</t>
        </is>
      </c>
      <c r="D3" s="3" t="inlineStr">
        <is>
          <t>DDB Impact</t>
        </is>
      </c>
    </row>
    <row r="4">
      <c r="A4" s="2" t="inlineStr">
        <is>
          <t>Cash</t>
        </is>
      </c>
      <c r="B4" s="4">
        <f>SUMIF(EntryData[Statement Line],A4,EntryData[Amount])</f>
        <v/>
      </c>
      <c r="C4" s="4">
        <f>B4</f>
        <v/>
      </c>
      <c r="D4" s="4">
        <f>C4-B4</f>
        <v/>
      </c>
    </row>
    <row r="5">
      <c r="A5" s="2" t="inlineStr">
        <is>
          <t>Accounts Receivable</t>
        </is>
      </c>
      <c r="B5" s="4">
        <f>SUMIF(EntryData[Statement Line],A5,EntryData[Amount])</f>
        <v/>
      </c>
      <c r="C5" s="4">
        <f>B5</f>
        <v/>
      </c>
      <c r="D5" s="4">
        <f>C5-B5</f>
        <v/>
      </c>
    </row>
    <row r="6">
      <c r="A6" s="2" t="inlineStr">
        <is>
          <t>Inventory</t>
        </is>
      </c>
      <c r="B6" s="4">
        <f>SUMIF(EntryData[Statement Line],A6,EntryData[Amount])</f>
        <v/>
      </c>
      <c r="C6" s="4">
        <f>B6</f>
        <v/>
      </c>
      <c r="D6" s="4">
        <f>C6-B6</f>
        <v/>
      </c>
    </row>
    <row r="7">
      <c r="A7" s="2" t="inlineStr">
        <is>
          <t>Supplies</t>
        </is>
      </c>
      <c r="B7" s="4">
        <f>SUMIF(EntryData[Statement Line],A7,EntryData[Amount])</f>
        <v/>
      </c>
      <c r="C7" s="4">
        <f>B7</f>
        <v/>
      </c>
      <c r="D7" s="4">
        <f>C7-B7</f>
        <v/>
      </c>
    </row>
    <row r="8">
      <c r="A8" s="5" t="inlineStr">
        <is>
          <t>Total Current Assets</t>
        </is>
      </c>
      <c r="B8" s="6">
        <f>SUM(B4:B7)</f>
        <v/>
      </c>
      <c r="C8" s="6">
        <f>SUM(C4:C7)</f>
        <v/>
      </c>
      <c r="D8" s="6">
        <f>C8-B8</f>
        <v/>
      </c>
    </row>
    <row r="9">
      <c r="A9" s="2" t="n"/>
      <c r="B9" s="4" t="n"/>
      <c r="C9" s="4" t="n"/>
      <c r="D9" s="4" t="n"/>
    </row>
    <row r="10">
      <c r="A10" s="2" t="inlineStr">
        <is>
          <t>Fixed Assets at Cost</t>
        </is>
      </c>
      <c r="B10" s="4">
        <f>SUM(AssetData[Cost])</f>
        <v/>
      </c>
      <c r="C10" s="4">
        <f>B10</f>
        <v/>
      </c>
      <c r="D10" s="4">
        <f>C10-B10</f>
        <v/>
      </c>
    </row>
    <row r="11">
      <c r="A11" s="2" t="inlineStr">
        <is>
          <t>Less: Accumulated Depreciation</t>
        </is>
      </c>
      <c r="B11" s="4">
        <f>-'Income Statement'!B15</f>
        <v/>
      </c>
      <c r="C11" s="4">
        <f>-'Income Statement'!C15</f>
        <v/>
      </c>
      <c r="D11" s="4">
        <f>C11-B11</f>
        <v/>
      </c>
    </row>
    <row r="12">
      <c r="A12" s="5" t="inlineStr">
        <is>
          <t>Net Fixed Assets</t>
        </is>
      </c>
      <c r="B12" s="6">
        <f>B10+B11</f>
        <v/>
      </c>
      <c r="C12" s="6">
        <f>C10+C11</f>
        <v/>
      </c>
      <c r="D12" s="6">
        <f>C12-B12</f>
        <v/>
      </c>
    </row>
    <row r="13">
      <c r="A13" s="5" t="inlineStr">
        <is>
          <t>Total Assets</t>
        </is>
      </c>
      <c r="B13" s="6">
        <f>B8+B12</f>
        <v/>
      </c>
      <c r="C13" s="6">
        <f>C8+C12</f>
        <v/>
      </c>
      <c r="D13" s="6">
        <f>C13-B13</f>
        <v/>
      </c>
    </row>
    <row r="14">
      <c r="A14" s="2" t="n"/>
      <c r="B14" s="4" t="n"/>
      <c r="C14" s="4" t="n"/>
      <c r="D14" s="4" t="n"/>
    </row>
    <row r="15">
      <c r="A15" s="2" t="inlineStr">
        <is>
          <t>Accounts Payable</t>
        </is>
      </c>
      <c r="B15" s="4">
        <f>SUMIF(EntryData[Statement Line],A15,EntryData[Amount])</f>
        <v/>
      </c>
      <c r="C15" s="4">
        <f>B15</f>
        <v/>
      </c>
      <c r="D15" s="4">
        <f>C15-B15</f>
        <v/>
      </c>
    </row>
    <row r="16">
      <c r="A16" s="2" t="inlineStr">
        <is>
          <t>Loan Payable</t>
        </is>
      </c>
      <c r="B16" s="4">
        <f>SUMIF(EntryData[Statement Line],A16,EntryData[Amount])</f>
        <v/>
      </c>
      <c r="C16" s="4">
        <f>B16</f>
        <v/>
      </c>
      <c r="D16" s="4">
        <f>C16-B16</f>
        <v/>
      </c>
    </row>
    <row r="17">
      <c r="A17" s="5" t="inlineStr">
        <is>
          <t>Total Liabilities</t>
        </is>
      </c>
      <c r="B17" s="6">
        <f>SUM(B15:B16)</f>
        <v/>
      </c>
      <c r="C17" s="6">
        <f>SUM(C15:C16)</f>
        <v/>
      </c>
      <c r="D17" s="6">
        <f>C17-B17</f>
        <v/>
      </c>
    </row>
    <row r="18">
      <c r="A18" s="2" t="n"/>
      <c r="B18" s="4" t="n"/>
      <c r="C18" s="4" t="n"/>
      <c r="D18" s="4" t="n"/>
    </row>
    <row r="19">
      <c r="A19" s="2" t="inlineStr">
        <is>
          <t>Owner Capital</t>
        </is>
      </c>
      <c r="B19" s="4">
        <f>SUMIF(EntryData[Statement Line],A19,EntryData[Amount])</f>
        <v/>
      </c>
      <c r="C19" s="4">
        <f>B19</f>
        <v/>
      </c>
      <c r="D19" s="4">
        <f>C19-B19</f>
        <v/>
      </c>
    </row>
    <row r="20">
      <c r="A20" s="2" t="inlineStr">
        <is>
          <t>Current Net Income</t>
        </is>
      </c>
      <c r="B20" s="4">
        <f>'Income Statement'!B20</f>
        <v/>
      </c>
      <c r="C20" s="4">
        <f>'Income Statement'!C20</f>
        <v/>
      </c>
      <c r="D20" s="4">
        <f>C20-B20</f>
        <v/>
      </c>
    </row>
    <row r="21">
      <c r="A21" s="5" t="inlineStr">
        <is>
          <t>Total Equity</t>
        </is>
      </c>
      <c r="B21" s="6">
        <f>SUM(B19:B20)</f>
        <v/>
      </c>
      <c r="C21" s="6">
        <f>SUM(C19:C20)</f>
        <v/>
      </c>
      <c r="D21" s="6">
        <f>C21-B21</f>
        <v/>
      </c>
    </row>
    <row r="22">
      <c r="A22" s="5" t="inlineStr">
        <is>
          <t>Total Liabilities + Equity</t>
        </is>
      </c>
      <c r="B22" s="6">
        <f>B17+B21</f>
        <v/>
      </c>
      <c r="C22" s="6">
        <f>C17+C21</f>
        <v/>
      </c>
      <c r="D22" s="6">
        <f>C22-B22</f>
        <v/>
      </c>
    </row>
    <row r="23">
      <c r="A23" s="5" t="inlineStr">
        <is>
          <t>Balance Check</t>
        </is>
      </c>
      <c r="B23" s="6">
        <f>B13-B22</f>
        <v/>
      </c>
      <c r="C23" s="6">
        <f>C13-C22</f>
        <v/>
      </c>
      <c r="D23" s="6">
        <f>C23-B23</f>
        <v/>
      </c>
    </row>
  </sheetData>
  <mergeCells count="1">
    <mergeCell ref="A1:D1"/>
  </mergeCells>
  <conditionalFormatting sqref="B23:C23">
    <cfRule type="cellIs" priority="1" operator="equal" dxfId="0">
      <formula>0</formula>
    </cfRule>
    <cfRule type="cellIs" priority="2" operator="notEqual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42" customWidth="1" min="1" max="1"/>
    <col width="24" customWidth="1" min="2" max="2"/>
    <col width="24" customWidth="1" min="3" max="3"/>
    <col width="36" customWidth="1" min="4" max="4"/>
  </cols>
  <sheetData>
    <row r="1" ht="24" customHeight="1">
      <c r="A1" s="1" t="inlineStr">
        <is>
          <t>Recommendation Evidence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Evidence Question</t>
        </is>
      </c>
      <c r="B3" s="3" t="inlineStr">
        <is>
          <t>Workbook Value</t>
        </is>
      </c>
      <c r="C3" s="3" t="inlineStr">
        <is>
          <t>Where It Comes From</t>
        </is>
      </c>
      <c r="D3" s="3" t="inlineStr">
        <is>
          <t>Memo Use</t>
        </is>
      </c>
    </row>
    <row r="4">
      <c r="A4" s="2" t="inlineStr">
        <is>
          <t>How much higher is DDB Year 1 depreciation?</t>
        </is>
      </c>
      <c r="B4" s="4">
        <f>'Income Statement'!D15</f>
        <v/>
      </c>
      <c r="C4" s="2" t="inlineStr">
        <is>
          <t>Income Statement</t>
        </is>
      </c>
      <c r="D4" s="2" t="inlineStr">
        <is>
          <t>Shows profit impact</t>
        </is>
      </c>
    </row>
    <row r="5">
      <c r="A5" s="2" t="inlineStr">
        <is>
          <t>How much lower is DDB net income?</t>
        </is>
      </c>
      <c r="B5" s="4">
        <f>'Income Statement'!D20</f>
        <v/>
      </c>
      <c r="C5" s="2" t="inlineStr">
        <is>
          <t>Income Statement</t>
        </is>
      </c>
      <c r="D5" s="2" t="inlineStr">
        <is>
          <t>Supports income statement claim</t>
        </is>
      </c>
    </row>
    <row r="6">
      <c r="A6" s="2" t="inlineStr">
        <is>
          <t>How much lower is DDB net fixed assets?</t>
        </is>
      </c>
      <c r="B6" s="4">
        <f>'Balance Sheet'!D12</f>
        <v/>
      </c>
      <c r="C6" s="2" t="inlineStr">
        <is>
          <t>Balance Sheet</t>
        </is>
      </c>
      <c r="D6" s="2" t="inlineStr">
        <is>
          <t>Supports balance sheet claim</t>
        </is>
      </c>
    </row>
    <row r="7">
      <c r="A7" s="2" t="inlineStr">
        <is>
          <t>Do both balance sheets balance?</t>
        </is>
      </c>
      <c r="B7" s="2">
        <f>IF(AND('Balance Sheet'!B23=0,'Balance Sheet'!C23=0),"Yes","No")</f>
        <v/>
      </c>
      <c r="C7" s="2" t="inlineStr">
        <is>
          <t>Balance Sheet</t>
        </is>
      </c>
      <c r="D7" s="2" t="inlineStr">
        <is>
          <t>Supports workbook reliability</t>
        </is>
      </c>
    </row>
    <row r="8">
      <c r="A8" s="2" t="inlineStr">
        <is>
          <t>Which method do you recommend?</t>
        </is>
      </c>
      <c r="B8" s="2" t="inlineStr">
        <is>
          <t>Straight-line for smoother Year 1 reporting</t>
        </is>
      </c>
      <c r="C8" s="2" t="inlineStr">
        <is>
          <t>Your analysis</t>
        </is>
      </c>
      <c r="D8" s="2" t="inlineStr">
        <is>
          <t>State your claim</t>
        </is>
      </c>
    </row>
    <row r="9">
      <c r="A9" s="2" t="inlineStr">
        <is>
          <t>Risk or limitation</t>
        </is>
      </c>
      <c r="B9" s="2" t="inlineStr">
        <is>
          <t>DDB may better match fast asset wear, but it lowers Year 1 profit sharply.</t>
        </is>
      </c>
      <c r="C9" s="2" t="inlineStr">
        <is>
          <t>Your analysis</t>
        </is>
      </c>
      <c r="D9" s="2" t="inlineStr">
        <is>
          <t>Name what the method does not show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48" customWidth="1" min="2" max="2"/>
    <col width="34" customWidth="1" min="3" max="3"/>
    <col width="34" customWidth="1" min="4" max="4"/>
  </cols>
  <sheetData>
    <row r="1" ht="24" customHeight="1">
      <c r="A1" s="1" t="inlineStr">
        <is>
          <t>Formula Reference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Need</t>
        </is>
      </c>
      <c r="B3" s="3" t="inlineStr">
        <is>
          <t>Excel Syntax</t>
        </is>
      </c>
      <c r="C3" s="3" t="inlineStr">
        <is>
          <t>Purpose</t>
        </is>
      </c>
      <c r="D3" s="3" t="inlineStr">
        <is>
          <t>Student Reminder</t>
        </is>
      </c>
    </row>
    <row r="4">
      <c r="A4" s="2" t="inlineStr">
        <is>
          <t>Lookup</t>
        </is>
      </c>
      <c r="B4" s="2" t="inlineStr">
        <is>
          <t>'=XLOOKUP(asset_id, AssetData[Asset ID], return_column)</t>
        </is>
      </c>
      <c r="C4" s="2" t="inlineStr">
        <is>
          <t>Pull asset data from the register</t>
        </is>
      </c>
      <c r="D4" s="2" t="inlineStr">
        <is>
          <t>Use links, not typed copies</t>
        </is>
      </c>
    </row>
    <row r="5">
      <c r="A5" s="2" t="inlineStr">
        <is>
          <t>Straight-line full year</t>
        </is>
      </c>
      <c r="B5" s="2" t="inlineStr">
        <is>
          <t>'=SLN(cost, salvage, life)</t>
        </is>
      </c>
      <c r="C5" s="2" t="inlineStr">
        <is>
          <t>Calculate full-year SL depreciation</t>
        </is>
      </c>
      <c r="D5" s="2" t="inlineStr">
        <is>
          <t>Then multiply by months / 12</t>
        </is>
      </c>
    </row>
    <row r="6">
      <c r="A6" s="2" t="inlineStr">
        <is>
          <t>DDB full year</t>
        </is>
      </c>
      <c r="B6" s="2" t="inlineStr">
        <is>
          <t>'=DDB(cost, salvage, life, 1)</t>
        </is>
      </c>
      <c r="C6" s="2" t="inlineStr">
        <is>
          <t>Calculate Year 1 DDB depreciation</t>
        </is>
      </c>
      <c r="D6" s="2" t="inlineStr">
        <is>
          <t>Then multiply by months / 12</t>
        </is>
      </c>
    </row>
    <row r="7">
      <c r="A7" s="2" t="inlineStr">
        <is>
          <t>Category totals</t>
        </is>
      </c>
      <c r="B7" s="2" t="inlineStr">
        <is>
          <t>'=SUMIF(EntryData[Statement Line],"Sales Revenue",EntryData[Amount])</t>
        </is>
      </c>
      <c r="C7" s="2" t="inlineStr">
        <is>
          <t>Pull categorized entries into statements</t>
        </is>
      </c>
      <c r="D7" s="2" t="inlineStr">
        <is>
          <t>Your categories must be correct first</t>
        </is>
      </c>
    </row>
    <row r="8">
      <c r="A8" s="2" t="inlineStr">
        <is>
          <t>Operating income</t>
        </is>
      </c>
      <c r="B8" s="2" t="inlineStr">
        <is>
          <t>'=Gross Profit - Total Operating Expenses</t>
        </is>
      </c>
      <c r="C8" s="2" t="inlineStr">
        <is>
          <t>Income statement impact</t>
        </is>
      </c>
      <c r="D8" s="2" t="inlineStr">
        <is>
          <t>DDB usually lowers Year 1 income</t>
        </is>
      </c>
    </row>
    <row r="9">
      <c r="A9" s="2" t="inlineStr">
        <is>
          <t>Net fixed assets</t>
        </is>
      </c>
      <c r="B9" s="2" t="inlineStr">
        <is>
          <t>'=Fixed Assets at Cost - Accumulated Depreciation</t>
        </is>
      </c>
      <c r="C9" s="2" t="inlineStr">
        <is>
          <t>Balance sheet impact</t>
        </is>
      </c>
      <c r="D9" s="2" t="inlineStr">
        <is>
          <t>Accumulated depreciation is a contra asset</t>
        </is>
      </c>
    </row>
    <row r="10">
      <c r="A10" s="2" t="inlineStr">
        <is>
          <t>Balance check</t>
        </is>
      </c>
      <c r="B10" s="2" t="inlineStr">
        <is>
          <t>'=Total Assets - Total Liabilities and Equity</t>
        </is>
      </c>
      <c r="C10" s="2" t="inlineStr">
        <is>
          <t>Verify the balance sheet</t>
        </is>
      </c>
      <c r="D10" s="2" t="inlineStr">
        <is>
          <t>The check should equal 0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78" customWidth="1" min="2" max="2"/>
    <col width="28" customWidth="1" min="3" max="3"/>
    <col width="18" customWidth="1" min="4" max="4"/>
  </cols>
  <sheetData>
    <row r="1" ht="24" customHeight="1">
      <c r="A1" s="1" t="inlineStr">
        <is>
          <t>Submission Check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Done?</t>
        </is>
      </c>
      <c r="B3" s="3" t="inlineStr">
        <is>
          <t>Check</t>
        </is>
      </c>
      <c r="C3" s="3" t="inlineStr">
        <is>
          <t>Notes</t>
        </is>
      </c>
      <c r="D3" s="3" t="inlineStr">
        <is>
          <t>Teacher</t>
        </is>
      </c>
    </row>
    <row r="4">
      <c r="A4" s="2" t="inlineStr">
        <is>
          <t>☑</t>
        </is>
      </c>
      <c r="B4" s="2" t="inlineStr">
        <is>
          <t>Entry Categories classifies every entry with a report, section, statement line, and reason.</t>
        </is>
      </c>
      <c r="C4" s="2" t="n"/>
      <c r="D4" s="2" t="n"/>
    </row>
    <row r="5">
      <c r="A5" s="2" t="inlineStr">
        <is>
          <t>☑</t>
        </is>
      </c>
      <c r="B5" s="2" t="inlineStr">
        <is>
          <t>Asset Register has complete purchase dates, months in service, and depreciable base formulas.</t>
        </is>
      </c>
      <c r="C5" s="2" t="n"/>
      <c r="D5" s="2" t="n"/>
    </row>
    <row r="6">
      <c r="A6" s="2" t="inlineStr">
        <is>
          <t>☑</t>
        </is>
      </c>
      <c r="B6" s="2" t="inlineStr">
        <is>
          <t>Partial-Year Depreciation uses XLOOKUP, SLN, DDB, and months / 12.</t>
        </is>
      </c>
      <c r="C6" s="2" t="n"/>
      <c r="D6" s="2" t="n"/>
    </row>
    <row r="7">
      <c r="A7" s="2" t="inlineStr">
        <is>
          <t>☑</t>
        </is>
      </c>
      <c r="B7" s="2" t="inlineStr">
        <is>
          <t>Method Comparison shows SL vs DDB Year 1 expense and ending book value.</t>
        </is>
      </c>
      <c r="C7" s="2" t="n"/>
      <c r="D7" s="2" t="n"/>
    </row>
    <row r="8">
      <c r="A8" s="2" t="inlineStr">
        <is>
          <t>☑</t>
        </is>
      </c>
      <c r="B8" s="2" t="inlineStr">
        <is>
          <t>Income Statement includes revenue, direct costs, operating expenses, depreciation, and net income.</t>
        </is>
      </c>
      <c r="C8" s="2" t="n"/>
      <c r="D8" s="2" t="n"/>
    </row>
    <row r="9">
      <c r="A9" s="2" t="inlineStr">
        <is>
          <t>☑</t>
        </is>
      </c>
      <c r="B9" s="2" t="inlineStr">
        <is>
          <t>Balance Sheet includes current assets, fixed assets, accumulated depreciation, liabilities, equity, and a zero balance check.</t>
        </is>
      </c>
      <c r="C9" s="2" t="n"/>
      <c r="D9" s="2" t="n"/>
    </row>
    <row r="10">
      <c r="A10" s="2" t="inlineStr">
        <is>
          <t>☑</t>
        </is>
      </c>
      <c r="B10" s="2" t="inlineStr">
        <is>
          <t>Recommendation Evidence includes at least two statement-based numbers.</t>
        </is>
      </c>
      <c r="C10" s="2" t="n"/>
      <c r="D10" s="2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2026-05-08T01:20:53Z</dcterms:created>
  <dcterms:modified xmlns:dcterms="http://purl.org/dc/terms/" xmlns:xsi="http://www.w3.org/2001/XMLSchema-instance" xsi:type="dcterms:W3CDTF">2026-05-08T01:20:53Z</dcterms:modified>
</cp:coreProperties>
</file>