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" sqref="A1"/>
    </sheetView>
  </sheetViews>
  <sheetFormatPr defaultRowHeight="15"/>
  <sheetData>
    <row r="1" spans="1:8">
      <c r="A1" s="1" t="inlineStr">
        <is>
          <t>Group 1 - Neighborhood Shine Pricing Project</t>
        </is>
      </c>
      <c r="B1"/>
      <c r="C1"/>
      <c r="D1"/>
      <c r="E1"/>
      <c r="F1"/>
      <c r="G1"/>
      <c r="H1"/>
    </row>
    <row r="2" spans="1:8">
      <c r="A2" t="inlineStr">
        <is>
          <t>Mobile Car Detailing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Van lease</t>
        </is>
      </c>
      <c r="B6">
        <v>850</v>
      </c>
      <c r="C6" t="inlineStr">
        <is>
          <t/>
        </is>
      </c>
      <c r="D6" t="inlineStr">
        <is>
          <t>Same monthly cost</t>
        </is>
      </c>
      <c r="E6"/>
      <c r="F6" t="inlineStr">
        <is>
          <t>Fixed Costs Total</t>
        </is>
      </c>
      <c r="G6">
        <f>SUMIF($C$6:$C$17,"Fixed",$B$6:$B$17)</f>
      </c>
      <c r="H6"/>
    </row>
    <row r="7" spans="1:8">
      <c r="A7" t="inlineStr">
        <is>
          <t>Business insurance</t>
        </is>
      </c>
      <c r="B7">
        <v>220</v>
      </c>
      <c r="C7" t="inlineStr">
        <is>
          <t/>
        </is>
      </c>
      <c r="D7" t="inlineStr">
        <is>
          <t>Monthly policy cost</t>
        </is>
      </c>
      <c r="E7"/>
      <c r="F7" t="inlineStr">
        <is>
          <t>Variable Cost per Unit</t>
        </is>
      </c>
      <c r="G7">
        <f>SUMIF($C$6:$C$17,"Variable",$B$6:$B$17)</f>
      </c>
      <c r="H7"/>
    </row>
    <row r="8" spans="1:8">
      <c r="A8" t="inlineStr">
        <is>
          <t>Booking software</t>
        </is>
      </c>
      <c r="B8">
        <v>90</v>
      </c>
      <c r="C8" t="inlineStr">
        <is>
          <t/>
        </is>
      </c>
      <c r="D8" t="inlineStr">
        <is>
          <t>Scheduling platform</t>
        </is>
      </c>
      <c r="E8"/>
      <c r="F8" t="inlineStr">
        <is>
          <t>Monthly Capacity</t>
        </is>
      </c>
      <c r="G8">
        <v>45</v>
      </c>
      <c r="H8"/>
    </row>
    <row r="9" spans="1:8">
      <c r="A9" t="inlineStr">
        <is>
          <t>Equipment depreciation</t>
        </is>
      </c>
      <c r="B9">
        <v>180</v>
      </c>
      <c r="C9" t="inlineStr">
        <is>
          <t/>
        </is>
      </c>
      <c r="D9" t="inlineStr">
        <is>
          <t>Buffers, vacuum, extractor</t>
        </is>
      </c>
      <c r="E9"/>
      <c r="F9" t="inlineStr">
        <is>
          <t>Target Monthly Profit</t>
        </is>
      </c>
      <c r="G9">
        <v>400</v>
      </c>
      <c r="H9"/>
    </row>
    <row r="10" spans="1:8">
      <c r="A10" t="inlineStr">
        <is>
          <t>Storage locker</t>
        </is>
      </c>
      <c r="B10">
        <v>160</v>
      </c>
      <c r="C10" t="inlineStr">
        <is>
          <t/>
        </is>
      </c>
      <c r="D10" t="inlineStr">
        <is>
          <t>Supplies storage</t>
        </is>
      </c>
      <c r="E10"/>
      <c r="F10" t="inlineStr">
        <is>
          <t>Base Price</t>
        </is>
      </c>
      <c r="G10">
        <v>110</v>
      </c>
      <c r="H10"/>
    </row>
    <row r="11" spans="1:8">
      <c r="A11" t="inlineStr">
        <is>
          <t>Phone + internet</t>
        </is>
      </c>
      <c r="B11">
        <v>100</v>
      </c>
      <c r="C11" t="inlineStr">
        <is>
          <t/>
        </is>
      </c>
      <c r="D11" t="inlineStr">
        <is>
          <t>Business line</t>
        </is>
      </c>
      <c r="E11"/>
      <c r="F11" t="inlineStr">
        <is>
          <t>Forecast Units @ Base Price</t>
        </is>
      </c>
      <c r="G11">
        <v>35</v>
      </c>
      <c r="H11"/>
    </row>
    <row r="12" spans="1:8">
      <c r="A12" t="inlineStr">
        <is>
          <t>Soap and wax</t>
        </is>
      </c>
      <c r="B12">
        <v>12</v>
      </c>
      <c r="C12" t="inlineStr">
        <is>
          <t/>
        </is>
      </c>
      <c r="D12" t="inlineStr">
        <is>
          <t>Per job supplies</t>
        </is>
      </c>
      <c r="E12"/>
      <c r="F12" t="inlineStr">
        <is>
          <t>Suggested Price Band</t>
        </is>
      </c>
      <c r="G12" t="inlineStr">
        <is>
          <t>$95-$125 per detail</t>
        </is>
      </c>
      <c r="H12"/>
    </row>
    <row r="13" spans="1:8">
      <c r="A13" t="inlineStr">
        <is>
          <t>Laundry and towel replacement</t>
        </is>
      </c>
      <c r="B13">
        <v>8</v>
      </c>
      <c r="C13" t="inlineStr">
        <is>
          <t/>
        </is>
      </c>
      <c r="D13" t="inlineStr">
        <is>
          <t>Per job usage</t>
        </is>
      </c>
      <c r="E13"/>
      <c r="F13"/>
      <c r="G13"/>
      <c r="H13"/>
    </row>
    <row r="14" spans="1:8">
      <c r="A14" t="inlineStr">
        <is>
          <t>Water and power usage</t>
        </is>
      </c>
      <c r="B14">
        <v>6</v>
      </c>
      <c r="C14" t="inlineStr">
        <is>
          <t/>
        </is>
      </c>
      <c r="D14" t="inlineStr">
        <is>
          <t>Per job estimate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Travel fuel</t>
        </is>
      </c>
      <c r="B15">
        <v>14</v>
      </c>
      <c r="C15" t="inlineStr">
        <is>
          <t/>
        </is>
      </c>
      <c r="D15" t="inlineStr">
        <is>
          <t>Per job travel</t>
        </is>
      </c>
      <c r="E15"/>
      <c r="F15" t="inlineStr">
        <is>
          <t>Economy Wash</t>
        </is>
      </c>
      <c r="G15">
        <v>95</v>
      </c>
      <c r="H15">
        <v>42</v>
      </c>
    </row>
    <row r="16" spans="1:8">
      <c r="A16" t="inlineStr">
        <is>
          <t>Payment processing</t>
        </is>
      </c>
      <c r="B16">
        <v>10</v>
      </c>
      <c r="C16" t="inlineStr">
        <is>
          <t/>
        </is>
      </c>
      <c r="D16" t="inlineStr">
        <is>
          <t>Card fees per sale</t>
        </is>
      </c>
      <c r="E16"/>
      <c r="F16" t="inlineStr">
        <is>
          <t>Premium Detail</t>
        </is>
      </c>
      <c r="G16">
        <v>110</v>
      </c>
      <c r="H16">
        <v>35</v>
      </c>
    </row>
    <row r="17" spans="1:8">
      <c r="A17" t="inlineStr">
        <is>
          <t>Disposable supplies</t>
        </is>
      </c>
      <c r="B17">
        <v>2</v>
      </c>
      <c r="C17" t="inlineStr">
        <is>
          <t/>
        </is>
      </c>
      <c r="D17" t="inlineStr">
        <is>
          <t>Gloves and liners</t>
        </is>
      </c>
      <c r="E17"/>
      <c r="F17" t="inlineStr">
        <is>
          <t>Ceramic Finish</t>
        </is>
      </c>
      <c r="G17">
        <v>125</v>
      </c>
      <c r="H17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 t="inlineStr">
        <is>
          <t>Variable Cost per Unit</t>
        </is>
      </c>
      <c r="B4">
        <f>CostSetup!$G$7</f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Economy Wash</t>
        </is>
      </c>
      <c r="B7">
        <v>95</v>
      </c>
      <c r="C7">
        <v>42</v>
      </c>
      <c r="D7">
        <f>CostSetup!$G$7</f>
      </c>
      <c r="E7">
        <f>B7-D7</f>
      </c>
      <c r="F7">
        <f>E7/B7</f>
      </c>
      <c r="G7">
        <f>(B7-D7)*C7-$B$3</f>
      </c>
    </row>
    <row r="8" spans="1:7">
      <c r="A8" t="inlineStr">
        <is>
          <t>Premium Detail</t>
        </is>
      </c>
      <c r="B8">
        <v>110</v>
      </c>
      <c r="C8">
        <v>35</v>
      </c>
      <c r="D8">
        <f>CostSetup!$G$7</f>
      </c>
      <c r="E8">
        <f>B8-D8</f>
      </c>
      <c r="F8">
        <f>E8/B8</f>
      </c>
      <c r="G8">
        <f>(B8-D8)*C8-$B$3</f>
      </c>
    </row>
    <row r="9" spans="1:7">
      <c r="A9" t="inlineStr">
        <is>
          <t>Ceramic Finish</t>
        </is>
      </c>
      <c r="B9">
        <v>125</v>
      </c>
      <c r="C9">
        <v>27</v>
      </c>
      <c r="D9">
        <f>CostSetup!$G$7</f>
      </c>
      <c r="E9">
        <f>B9-D9</f>
      </c>
      <c r="F9">
        <f>E9/B9</f>
      </c>
      <c r="G9">
        <f>(B9-D9)*C9-$B$3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Economy Wash</t>
        </is>
      </c>
      <c r="B6">
        <f>PriceOptions!C7</f>
      </c>
      <c r="C6">
        <f>ROUNDUP($B$3/(PriceOptions!E7),0)</f>
      </c>
      <c r="D6" t="str">
        <f>IF(B6&gt;=C6,"Yes","No")</f>
      </c>
      <c r="E6" t="str">
        <f>IF(B6&lt;=$D$3,"Yes","No")</f>
      </c>
      <c r="F6">
        <f>B6-C6</f>
      </c>
      <c r="G6">
        <f>PriceOptions!G7</f>
      </c>
    </row>
    <row r="7" spans="1:7">
      <c r="A7" t="inlineStr">
        <is>
          <t>Premium Detail</t>
        </is>
      </c>
      <c r="B7">
        <f>PriceOptions!C8</f>
      </c>
      <c r="C7">
        <f>ROUNDUP($B$3/(PriceOptions!E8),0)</f>
      </c>
      <c r="D7" t="str">
        <f>IF(B7&gt;=C7,"Yes","No")</f>
      </c>
      <c r="E7" t="str">
        <f>IF(B7&lt;=$D$3,"Yes","No")</f>
      </c>
      <c r="F7">
        <f>B7-C7</f>
      </c>
      <c r="G7">
        <f>PriceOptions!G8</f>
      </c>
    </row>
    <row r="8" spans="1:7">
      <c r="A8" t="inlineStr">
        <is>
          <t>Ceramic Finish</t>
        </is>
      </c>
      <c r="B8">
        <f>PriceOptions!C9</f>
      </c>
      <c r="C8">
        <f>ROUNDUP($B$3/(PriceOptions!E9),0)</f>
      </c>
      <c r="D8" t="str">
        <f>IF(B8&gt;=C8,"Yes","No")</f>
      </c>
      <c r="E8" t="str">
        <f>IF(B8&lt;=$D$3,"Yes","No")</f>
      </c>
      <c r="F8">
        <f>B8-C8</f>
      </c>
      <c r="G8">
        <f>PriceOptions!G9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</c>
      <c r="C3"/>
    </row>
    <row r="4" spans="1:3">
      <c r="A4" t="inlineStr">
        <is>
          <t>Variable Cost per Unit</t>
        </is>
      </c>
      <c r="B4">
        <f>CostSetup!$G$7</f>
      </c>
      <c r="C4"/>
    </row>
    <row r="5" spans="1:3">
      <c r="A5" t="inlineStr">
        <is>
          <t>Target Monthly Profit</t>
        </is>
      </c>
      <c r="B5">
        <f>CostSetup!$G$9</f>
      </c>
      <c r="C5"/>
    </row>
    <row r="6" spans="1:3">
      <c r="A6" t="inlineStr">
        <is>
          <t>Base Price</t>
        </is>
      </c>
      <c r="B6">
        <f>CostSetup!$G$10</f>
      </c>
      <c r="C6"/>
    </row>
    <row r="7" spans="1:3">
      <c r="A7" t="inlineStr">
        <is>
          <t>Base Forecast Units</t>
        </is>
      </c>
      <c r="B7">
        <f>CostSetup!$G$11</f>
      </c>
      <c r="C7"/>
    </row>
    <row r="8" spans="1:3">
      <c r="A8" t="inlineStr">
        <is>
          <t>Capacity</t>
        </is>
      </c>
      <c r="B8">
        <f>CostSetup!$G$8</f>
      </c>
      <c r="C8"/>
    </row>
    <row r="9" spans="1:3">
      <c r="A9" t="inlineStr">
        <is>
          <t>Contribution Margin @ Base Price</t>
        </is>
      </c>
      <c r="B9">
        <f>B6-B4</f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</c>
    </row>
    <row r="4" spans="1:2">
      <c r="A4" t="inlineStr">
        <is>
          <t>Variable Cost per Unit</t>
        </is>
      </c>
      <c r="B4">
        <f>CostSetup!$G$7</f>
      </c>
    </row>
    <row r="5" spans="1:2">
      <c r="A5" t="inlineStr">
        <is>
          <t>Assumed Units</t>
        </is>
      </c>
      <c r="B5">
        <f>CostSetup!$G$11</f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95</v>
      </c>
      <c r="B8">
        <f>(A8-$B$4)*$B$5-$B$3</f>
      </c>
    </row>
    <row r="9" spans="1:2">
      <c r="A9">
        <v>100</v>
      </c>
      <c r="B9">
        <f>(A9-$B$4)*$B$5-$B$3</f>
      </c>
    </row>
    <row r="10" spans="1:2">
      <c r="A10">
        <v>105</v>
      </c>
      <c r="B10">
        <f>(A10-$B$4)*$B$5-$B$3</f>
      </c>
    </row>
    <row r="11" spans="1:2">
      <c r="A11">
        <v>110</v>
      </c>
      <c r="B11">
        <f>(A11-$B$4)*$B$5-$B$3</f>
      </c>
    </row>
    <row r="12" spans="1:2">
      <c r="A12">
        <v>115</v>
      </c>
      <c r="B12">
        <f>(A12-$B$4)*$B$5-$B$3</f>
      </c>
    </row>
    <row r="13" spans="1:2">
      <c r="A13">
        <v>120</v>
      </c>
      <c r="B13">
        <f>(A13-$B$4)*$B$5-$B$3</f>
      </c>
    </row>
    <row r="14" spans="1:2">
      <c r="A14">
        <v>125</v>
      </c>
      <c r="B14">
        <f>(A14-$B$4)*$B$5-$B$3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</c>
      <c r="C3" t="inlineStr">
        <is>
          <t>Variable Cost per Unit</t>
        </is>
      </c>
      <c r="D3">
        <f>CostSetup!$G$7</f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25</v>
      </c>
      <c r="C5" s="1">
        <v>30</v>
      </c>
      <c r="D5" s="1">
        <v>35</v>
      </c>
      <c r="E5" s="1">
        <v>40</v>
      </c>
      <c r="F5" s="1">
        <v>45</v>
      </c>
    </row>
    <row r="6" spans="1:6">
      <c r="A6" s="1">
        <v>95</v>
      </c>
      <c r="B6">
        <f>($A6-$D$3)*B$5-$B$3</f>
      </c>
      <c r="C6">
        <f>($A6-$D$3)*C$5-$B$3</f>
      </c>
      <c r="D6">
        <f>($A6-$D$3)*D$5-$B$3</f>
      </c>
      <c r="E6">
        <f>($A6-$D$3)*E$5-$B$3</f>
      </c>
      <c r="F6">
        <f>($A6-$D$3)*F$5-$B$3</f>
      </c>
    </row>
    <row r="7" spans="1:6">
      <c r="A7" s="1">
        <v>105</v>
      </c>
      <c r="B7">
        <f>($A7-$D$3)*B$5-$B$3</f>
      </c>
      <c r="C7">
        <f>($A7-$D$3)*C$5-$B$3</f>
      </c>
      <c r="D7">
        <f>($A7-$D$3)*D$5-$B$3</f>
      </c>
      <c r="E7">
        <f>($A7-$D$3)*E$5-$B$3</f>
      </c>
      <c r="F7">
        <f>($A7-$D$3)*F$5-$B$3</f>
      </c>
    </row>
    <row r="8" spans="1:6">
      <c r="A8" s="1">
        <v>115</v>
      </c>
      <c r="B8">
        <f>($A8-$D$3)*B$5-$B$3</f>
      </c>
      <c r="C8">
        <f>($A8-$D$3)*C$5-$B$3</f>
      </c>
      <c r="D8">
        <f>($A8-$D$3)*D$5-$B$3</f>
      </c>
      <c r="E8">
        <f>($A8-$D$3)*E$5-$B$3</f>
      </c>
      <c r="F8">
        <f>($A8-$D$3)*F$5-$B$3</f>
      </c>
    </row>
    <row r="9" spans="1:6">
      <c r="A9" s="1">
        <v>125</v>
      </c>
      <c r="B9">
        <f>($A9-$D$3)*B$5-$B$3</f>
      </c>
      <c r="C9">
        <f>($A9-$D$3)*C$5-$B$3</f>
      </c>
      <c r="D9">
        <f>($A9-$D$3)*D$5-$B$3</f>
      </c>
      <c r="E9">
        <f>($A9-$D$3)*E$5-$B$3</f>
      </c>
      <c r="F9">
        <f>($A9-$D$3)*F$5-$B$3</f>
      </c>
    </row>
    <row r="10" spans="1:6">
      <c r="A10" s="1">
        <v>135</v>
      </c>
      <c r="B10">
        <f>($A10-$D$3)*B$5-$B$3</f>
      </c>
      <c r="C10">
        <f>($A10-$D$3)*C$5-$B$3</f>
      </c>
      <c r="D10">
        <f>($A10-$D$3)*D$5-$B$3</f>
      </c>
      <c r="E10">
        <f>($A10-$D$3)*E$5-$B$3</f>
      </c>
      <c r="F10">
        <f>($A10-$D$3)*F$5-$B$3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/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</c>
      <c r="C11"/>
      <c r="D11"/>
    </row>
    <row r="12" spans="1:4">
      <c r="A12" t="inlineStr">
        <is>
          <t>Downside Profit</t>
        </is>
      </c>
      <c r="B12">
        <v>-95</v>
      </c>
      <c r="C12"/>
      <c r="D12"/>
    </row>
    <row r="13" spans="1:4">
      <c r="A13" t="inlineStr">
        <is>
          <t>Upside Profit</t>
        </is>
      </c>
      <c r="B13">
        <v>955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/>
        </is>
      </c>
      <c r="C15"/>
      <c r="D15"/>
    </row>
    <row r="16" spans="1:4">
      <c r="A16" s="1" t="inlineStr">
        <is>
          <t>Risk Statement</t>
        </is>
      </c>
      <c r="B16" t="inlineStr">
        <is>
          <t/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Economy Wash</t>
        </is>
      </c>
      <c r="B20">
        <v>95</v>
      </c>
      <c r="C20">
        <v>42</v>
      </c>
      <c r="D20">
        <v>206</v>
      </c>
    </row>
    <row r="21" spans="1:4">
      <c r="A21" t="inlineStr">
        <is>
          <t>Premium Detail</t>
        </is>
      </c>
      <c r="B21">
        <v>110</v>
      </c>
      <c r="C21">
        <v>35</v>
      </c>
      <c r="D21">
        <v>430</v>
      </c>
    </row>
    <row r="22" spans="1:4">
      <c r="A22" t="inlineStr">
        <is>
          <t>Ceramic Finish</t>
        </is>
      </c>
      <c r="B22">
        <v>125</v>
      </c>
      <c r="C22">
        <v>27</v>
      </c>
      <c r="D22">
        <v>371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