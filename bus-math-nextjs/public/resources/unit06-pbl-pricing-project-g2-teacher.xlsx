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 defaultThemeVersion="166925"/>
  <bookViews>
    <workbookView xWindow="0" yWindow="0" windowWidth="22755" windowHeight="14535"/>
  </bookViews>
  <sheets>
    <sheet name="CostSetup" sheetId="1" r:id="rId1"/>
    <sheet name="PriceOptions" sheetId="2" r:id="rId2"/>
    <sheet name="Feasibility" sheetId="3" r:id="rId3"/>
    <sheet name="TargetProfit" sheetId="4" r:id="rId4"/>
    <sheet name="PriceSensitivity" sheetId="5" r:id="rId5"/>
    <sheet name="ProfitMatrix" sheetId="6" r:id="rId6"/>
    <sheet name="Dashboard" sheetId="7" r:id="rId7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A1" sqref="A1"/>
    </sheetView>
  </sheetViews>
  <sheetFormatPr defaultRowHeight="15"/>
  <sheetData>
    <row r="1" spans="1:8">
      <c r="A1" s="1" t="inlineStr">
        <is>
          <t>Group 2 - Northside Print Lab Pricing Project</t>
        </is>
      </c>
      <c r="B1"/>
      <c r="C1"/>
      <c r="D1"/>
      <c r="E1"/>
      <c r="F1"/>
      <c r="G1"/>
      <c r="H1"/>
    </row>
    <row r="2" spans="1:8">
      <c r="A2" t="inlineStr">
        <is>
          <t>Custom Hoodie Print Shop</t>
        </is>
      </c>
      <c r="B2"/>
      <c r="C2"/>
      <c r="D2"/>
      <c r="E2"/>
      <c r="F2"/>
      <c r="G2"/>
      <c r="H2"/>
    </row>
    <row r="3" spans="1:8">
      <c r="A3" t="inlineStr">
        <is>
          <t>Classify each cost as Fixed or Variable in column C. The totals in column G feed every other sheet.</t>
        </is>
      </c>
      <c r="B3"/>
      <c r="C3"/>
      <c r="D3"/>
      <c r="E3"/>
      <c r="F3"/>
      <c r="G3"/>
      <c r="H3"/>
    </row>
    <row r="4" spans="1:8">
      <c r="A4"/>
      <c r="B4"/>
      <c r="C4"/>
      <c r="D4"/>
      <c r="E4"/>
      <c r="F4"/>
      <c r="G4"/>
      <c r="H4"/>
    </row>
    <row r="5" spans="1:8">
      <c r="A5" s="1" t="inlineStr">
        <is>
          <t>Item</t>
        </is>
      </c>
      <c r="B5" s="1" t="inlineStr">
        <is>
          <t>Amount</t>
        </is>
      </c>
      <c r="C5" s="1" t="inlineStr">
        <is>
          <t>Category</t>
        </is>
      </c>
      <c r="D5" s="1" t="inlineStr">
        <is>
          <t>Notes</t>
        </is>
      </c>
      <c r="E5"/>
      <c r="F5" s="1" t="inlineStr">
        <is>
          <t>Project Assumptions</t>
        </is>
      </c>
      <c r="G5" s="1" t="inlineStr">
        <is>
          <t>Value</t>
        </is>
      </c>
      <c r="H5"/>
    </row>
    <row r="6" spans="1:8">
      <c r="A6" t="inlineStr">
        <is>
          <t>Shop rent</t>
        </is>
      </c>
      <c r="B6">
        <v>900</v>
      </c>
      <c r="C6" t="inlineStr">
        <is>
          <t>Fixed</t>
        </is>
      </c>
      <c r="D6" t="inlineStr">
        <is>
          <t>Monthly storefront rent</t>
        </is>
      </c>
      <c r="E6"/>
      <c r="F6" t="inlineStr">
        <is>
          <t>Fixed Costs Total</t>
        </is>
      </c>
      <c r="G6">
        <f>SUMIF($C$6:$C$17,"Fixed",$B$6:$B$17)</f>
        <v>2300</v>
      </c>
      <c r="H6"/>
    </row>
    <row r="7" spans="1:8">
      <c r="A7" t="inlineStr">
        <is>
          <t>Utilities base charge</t>
        </is>
      </c>
      <c r="B7">
        <v>180</v>
      </c>
      <c r="C7" t="inlineStr">
        <is>
          <t>Fixed</t>
        </is>
      </c>
      <c r="D7" t="inlineStr">
        <is>
          <t>Base utilities</t>
        </is>
      </c>
      <c r="E7"/>
      <c r="F7" t="inlineStr">
        <is>
          <t>Variable Cost per Unit</t>
        </is>
      </c>
      <c r="G7">
        <f>SUMIF($C$6:$C$17,"Variable",$B$6:$B$17)</f>
        <v>14.0</v>
      </c>
      <c r="H7"/>
    </row>
    <row r="8" spans="1:8">
      <c r="A8" t="inlineStr">
        <is>
          <t>Website storefront</t>
        </is>
      </c>
      <c r="B8">
        <v>70</v>
      </c>
      <c r="C8" t="inlineStr">
        <is>
          <t>Fixed</t>
        </is>
      </c>
      <c r="D8" t="inlineStr">
        <is>
          <t>Online ordering</t>
        </is>
      </c>
      <c r="E8"/>
      <c r="F8" t="inlineStr">
        <is>
          <t>Monthly Capacity</t>
        </is>
      </c>
      <c r="G8">
        <v>220</v>
      </c>
      <c r="H8"/>
    </row>
    <row r="9" spans="1:8">
      <c r="A9" t="inlineStr">
        <is>
          <t>Equipment lease</t>
        </is>
      </c>
      <c r="B9">
        <v>450</v>
      </c>
      <c r="C9" t="inlineStr">
        <is>
          <t>Fixed</t>
        </is>
      </c>
      <c r="D9" t="inlineStr">
        <is>
          <t>Press and cutter</t>
        </is>
      </c>
      <c r="E9"/>
      <c r="F9" t="inlineStr">
        <is>
          <t>Target Monthly Profit</t>
        </is>
      </c>
      <c r="G9">
        <v>500</v>
      </c>
      <c r="H9"/>
    </row>
    <row r="10" spans="1:8">
      <c r="A10" t="inlineStr">
        <is>
          <t>Insurance</t>
        </is>
      </c>
      <c r="B10">
        <v>140</v>
      </c>
      <c r="C10" t="inlineStr">
        <is>
          <t>Fixed</t>
        </is>
      </c>
      <c r="D10" t="inlineStr">
        <is>
          <t>General coverage</t>
        </is>
      </c>
      <c r="E10"/>
      <c r="F10" t="inlineStr">
        <is>
          <t>Base Price</t>
        </is>
      </c>
      <c r="G10">
        <v>28</v>
      </c>
      <c r="H10"/>
    </row>
    <row r="11" spans="1:8">
      <c r="A11" t="inlineStr">
        <is>
          <t>Marketing retainer</t>
        </is>
      </c>
      <c r="B11">
        <v>220</v>
      </c>
      <c r="C11" t="inlineStr">
        <is>
          <t>Fixed</t>
        </is>
      </c>
      <c r="D11" t="inlineStr">
        <is>
          <t>Monthly ads</t>
        </is>
      </c>
      <c r="E11"/>
      <c r="F11" t="inlineStr">
        <is>
          <t>Forecast Units @ Base Price</t>
        </is>
      </c>
      <c r="G11">
        <v>190</v>
      </c>
      <c r="H11"/>
    </row>
    <row r="12" spans="1:8">
      <c r="A12" t="inlineStr">
        <is>
          <t>Admin stipend</t>
        </is>
      </c>
      <c r="B12">
        <v>340</v>
      </c>
      <c r="C12" t="inlineStr">
        <is>
          <t>Fixed</t>
        </is>
      </c>
      <c r="D12" t="inlineStr">
        <is>
          <t>Part-time admin</t>
        </is>
      </c>
      <c r="E12"/>
      <c r="F12" t="inlineStr">
        <is>
          <t>Suggested Price Band</t>
        </is>
      </c>
      <c r="G12" t="inlineStr">
        <is>
          <t>$24-$32 per hoodie</t>
        </is>
      </c>
      <c r="H12"/>
    </row>
    <row r="13" spans="1:8">
      <c r="A13" t="inlineStr">
        <is>
          <t>Blank hoodie</t>
        </is>
      </c>
      <c r="B13">
        <v>8.0</v>
      </c>
      <c r="C13" t="inlineStr">
        <is>
          <t>Variable</t>
        </is>
      </c>
      <c r="D13" t="inlineStr">
        <is>
          <t>Per unit material</t>
        </is>
      </c>
      <c r="E13"/>
      <c r="F13"/>
      <c r="G13"/>
      <c r="H13"/>
    </row>
    <row r="14" spans="1:8">
      <c r="A14" t="inlineStr">
        <is>
          <t>Ink</t>
        </is>
      </c>
      <c r="B14">
        <v>1.75</v>
      </c>
      <c r="C14" t="inlineStr">
        <is>
          <t>Variable</t>
        </is>
      </c>
      <c r="D14" t="inlineStr">
        <is>
          <t>Per unit ink</t>
        </is>
      </c>
      <c r="E14"/>
      <c r="F14" s="1" t="inlineStr">
        <is>
          <t>Option</t>
        </is>
      </c>
      <c r="G14" s="1" t="inlineStr">
        <is>
          <t>Price</t>
        </is>
      </c>
      <c r="H14" s="1" t="inlineStr">
        <is>
          <t>Forecast Units</t>
        </is>
      </c>
    </row>
    <row r="15" spans="1:8">
      <c r="A15" t="inlineStr">
        <is>
          <t>Packaging</t>
        </is>
      </c>
      <c r="B15">
        <v>0.75</v>
      </c>
      <c r="C15" t="inlineStr">
        <is>
          <t>Variable</t>
        </is>
      </c>
      <c r="D15" t="inlineStr">
        <is>
          <t>Per unit bag</t>
        </is>
      </c>
      <c r="E15"/>
      <c r="F15" t="inlineStr">
        <is>
          <t>Bulk Spirit</t>
        </is>
      </c>
      <c r="G15">
        <v>24</v>
      </c>
      <c r="H15">
        <v>220</v>
      </c>
    </row>
    <row r="16" spans="1:8">
      <c r="A16" t="inlineStr">
        <is>
          <t>Card fees</t>
        </is>
      </c>
      <c r="B16">
        <v>0.9</v>
      </c>
      <c r="C16" t="inlineStr">
        <is>
          <t>Variable</t>
        </is>
      </c>
      <c r="D16" t="inlineStr">
        <is>
          <t>Per unit processing</t>
        </is>
      </c>
      <c r="E16"/>
      <c r="F16" t="inlineStr">
        <is>
          <t>Signature Hoodie</t>
        </is>
      </c>
      <c r="G16">
        <v>28</v>
      </c>
      <c r="H16">
        <v>190</v>
      </c>
    </row>
    <row r="17" spans="1:8">
      <c r="A17" t="inlineStr">
        <is>
          <t>Print labor</t>
        </is>
      </c>
      <c r="B17">
        <v>2.6</v>
      </c>
      <c r="C17" t="inlineStr">
        <is>
          <t>Variable</t>
        </is>
      </c>
      <c r="D17" t="inlineStr">
        <is>
          <t>Per unit labor</t>
        </is>
      </c>
      <c r="E17"/>
      <c r="F17" t="inlineStr">
        <is>
          <t>Premium Drop</t>
        </is>
      </c>
      <c r="G17">
        <v>32</v>
      </c>
      <c r="H17">
        <v>160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A1" sqref="A1"/>
    </sheetView>
  </sheetViews>
  <sheetFormatPr defaultRowHeight="15"/>
  <sheetData>
    <row r="1" spans="1:7">
      <c r="A1" s="1" t="inlineStr">
        <is>
          <t>PriceOptions - Compare candidate prices</t>
        </is>
      </c>
      <c r="B1"/>
      <c r="C1"/>
      <c r="D1"/>
      <c r="E1"/>
      <c r="F1"/>
      <c r="G1"/>
    </row>
    <row r="2" spans="1:7">
      <c r="A2" t="inlineStr">
        <is>
          <t>Each option uses the same fixed and variable cost structure from CostSetup, but a different expected monthly demand.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  <v>2300</v>
      </c>
      <c r="C3" t="inlineStr">
        <is>
          <t>Capacity</t>
        </is>
      </c>
      <c r="D3">
        <f>CostSetup!$G$8</f>
        <v>220</v>
      </c>
      <c r="E3"/>
      <c r="F3"/>
      <c r="G3"/>
    </row>
    <row r="4" spans="1:7">
      <c r="A4" t="inlineStr">
        <is>
          <t>Variable Cost per Unit</t>
        </is>
      </c>
      <c r="B4">
        <f>CostSetup!$G$7</f>
        <v>14.0</v>
      </c>
      <c r="C4"/>
      <c r="D4"/>
      <c r="E4"/>
      <c r="F4"/>
      <c r="G4"/>
    </row>
    <row r="5" spans="1:7">
      <c r="A5"/>
      <c r="B5"/>
      <c r="C5"/>
      <c r="D5"/>
      <c r="E5"/>
      <c r="F5"/>
      <c r="G5"/>
    </row>
    <row r="6" spans="1:7">
      <c r="A6" s="1" t="inlineStr">
        <is>
          <t>Option</t>
        </is>
      </c>
      <c r="B6" s="1" t="inlineStr">
        <is>
          <t>Price</t>
        </is>
      </c>
      <c r="C6" s="1" t="inlineStr">
        <is>
          <t>Forecast Units</t>
        </is>
      </c>
      <c r="D6" s="1" t="inlineStr">
        <is>
          <t>Variable Cost</t>
        </is>
      </c>
      <c r="E6" s="1" t="inlineStr">
        <is>
          <t>CM ($)</t>
        </is>
      </c>
      <c r="F6" s="1" t="inlineStr">
        <is>
          <t>CM Ratio</t>
        </is>
      </c>
      <c r="G6" s="1" t="inlineStr">
        <is>
          <t>Projected Profit</t>
        </is>
      </c>
    </row>
    <row r="7" spans="1:7">
      <c r="A7" t="inlineStr">
        <is>
          <t>Bulk Spirit</t>
        </is>
      </c>
      <c r="B7">
        <v>24</v>
      </c>
      <c r="C7">
        <v>220</v>
      </c>
      <c r="D7">
        <f>CostSetup!$G$7</f>
        <v>14.0</v>
      </c>
      <c r="E7">
        <f>B7-D7</f>
        <v>10.0</v>
      </c>
      <c r="F7">
        <f>E7/B7</f>
        <v>0.4167</v>
      </c>
      <c r="G7">
        <f>(B7-D7)*C7-$B$3</f>
        <v>-100.0</v>
      </c>
    </row>
    <row r="8" spans="1:7">
      <c r="A8" t="inlineStr">
        <is>
          <t>Signature Hoodie</t>
        </is>
      </c>
      <c r="B8">
        <v>28</v>
      </c>
      <c r="C8">
        <v>190</v>
      </c>
      <c r="D8">
        <f>CostSetup!$G$7</f>
        <v>14.0</v>
      </c>
      <c r="E8">
        <f>B8-D8</f>
        <v>14.0</v>
      </c>
      <c r="F8">
        <f>E8/B8</f>
        <v>0.5</v>
      </c>
      <c r="G8">
        <f>(B8-D8)*C8-$B$3</f>
        <v>360.0</v>
      </c>
    </row>
    <row r="9" spans="1:7">
      <c r="A9" t="inlineStr">
        <is>
          <t>Premium Drop</t>
        </is>
      </c>
      <c r="B9">
        <v>32</v>
      </c>
      <c r="C9">
        <v>160</v>
      </c>
      <c r="D9">
        <f>CostSetup!$G$7</f>
        <v>14.0</v>
      </c>
      <c r="E9">
        <f>B9-D9</f>
        <v>18.0</v>
      </c>
      <c r="F9">
        <f>E9/B9</f>
        <v>0.5625</v>
      </c>
      <c r="G9">
        <f>(B9-D9)*C9-$B$3</f>
        <v>580.0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1" sqref="A1"/>
    </sheetView>
  </sheetViews>
  <sheetFormatPr defaultRowHeight="15"/>
  <sheetData>
    <row r="1" spans="1:7">
      <c r="A1" s="1" t="inlineStr">
        <is>
          <t>Feasibility - Break-even and capacity check</t>
        </is>
      </c>
      <c r="B1"/>
      <c r="C1"/>
      <c r="D1"/>
      <c r="E1"/>
      <c r="F1"/>
      <c r="G1"/>
    </row>
    <row r="2" spans="1:7">
      <c r="A2" t="inlineStr">
        <is>
          <t>This sheet asks two questions: Does each option beat break-even, and does forecast demand stay inside monthly capacity?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  <v>2300</v>
      </c>
      <c r="C3" t="inlineStr">
        <is>
          <t>Capacity</t>
        </is>
      </c>
      <c r="D3">
        <f>CostSetup!$G$8</f>
        <v>220</v>
      </c>
      <c r="E3"/>
      <c r="F3"/>
      <c r="G3"/>
    </row>
    <row r="4" spans="1:7">
      <c r="A4"/>
      <c r="B4"/>
      <c r="C4"/>
      <c r="D4"/>
      <c r="E4"/>
      <c r="F4"/>
      <c r="G4"/>
    </row>
    <row r="5" spans="1:7">
      <c r="A5" s="1" t="inlineStr">
        <is>
          <t>Option</t>
        </is>
      </c>
      <c r="B5" s="1" t="inlineStr">
        <is>
          <t>Forecast Units</t>
        </is>
      </c>
      <c r="C5" s="1" t="inlineStr">
        <is>
          <t>Break-Even Units</t>
        </is>
      </c>
      <c r="D5" s="1" t="inlineStr">
        <is>
          <t>Above Break-Even?</t>
        </is>
      </c>
      <c r="E5" s="1" t="inlineStr">
        <is>
          <t>Capacity OK?</t>
        </is>
      </c>
      <c r="F5" s="1" t="inlineStr">
        <is>
          <t>Forecast Cushion</t>
        </is>
      </c>
      <c r="G5" s="1" t="inlineStr">
        <is>
          <t>Projected Profit</t>
        </is>
      </c>
    </row>
    <row r="6" spans="1:7">
      <c r="A6" t="inlineStr">
        <is>
          <t>Bulk Spirit</t>
        </is>
      </c>
      <c r="B6">
        <f>PriceOptions!C7</f>
        <v>220</v>
      </c>
      <c r="C6">
        <f>ROUNDUP($B$3/(PriceOptions!E7),0)</f>
        <v>230</v>
      </c>
      <c r="D6" t="str">
        <f>IF(B6&gt;=C6,"Yes","No")</f>
        <v>No</v>
      </c>
      <c r="E6" t="str">
        <f>IF(B6&lt;=$D$3,"Yes","No")</f>
        <v>Yes</v>
      </c>
      <c r="F6">
        <f>B6-C6</f>
        <v>-10</v>
      </c>
      <c r="G6">
        <f>PriceOptions!G7</f>
        <v>-100.0</v>
      </c>
    </row>
    <row r="7" spans="1:7">
      <c r="A7" t="inlineStr">
        <is>
          <t>Signature Hoodie</t>
        </is>
      </c>
      <c r="B7">
        <f>PriceOptions!C8</f>
        <v>190</v>
      </c>
      <c r="C7">
        <f>ROUNDUP($B$3/(PriceOptions!E8),0)</f>
        <v>165</v>
      </c>
      <c r="D7" t="str">
        <f>IF(B7&gt;=C7,"Yes","No")</f>
        <v>Yes</v>
      </c>
      <c r="E7" t="str">
        <f>IF(B7&lt;=$D$3,"Yes","No")</f>
        <v>Yes</v>
      </c>
      <c r="F7">
        <f>B7-C7</f>
        <v>25</v>
      </c>
      <c r="G7">
        <f>PriceOptions!G8</f>
        <v>360.0</v>
      </c>
    </row>
    <row r="8" spans="1:7">
      <c r="A8" t="inlineStr">
        <is>
          <t>Premium Drop</t>
        </is>
      </c>
      <c r="B8">
        <f>PriceOptions!C9</f>
        <v>160</v>
      </c>
      <c r="C8">
        <f>ROUNDUP($B$3/(PriceOptions!E9),0)</f>
        <v>128</v>
      </c>
      <c r="D8" t="str">
        <f>IF(B8&gt;=C8,"Yes","No")</f>
        <v>Yes</v>
      </c>
      <c r="E8" t="str">
        <f>IF(B8&lt;=$D$3,"Yes","No")</f>
        <v>Yes</v>
      </c>
      <c r="F8">
        <f>B8-C8</f>
        <v>32</v>
      </c>
      <c r="G8">
        <f>PriceOptions!G9</f>
        <v>580.0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5"/>
  <sheetData>
    <row r="1" spans="1:3">
      <c r="A1" s="1" t="inlineStr">
        <is>
          <t>TargetProfit - Reverse solve from the target</t>
        </is>
      </c>
      <c r="B1"/>
      <c r="C1"/>
    </row>
    <row r="2" spans="1:3">
      <c r="A2" t="inlineStr">
        <is>
          <t>Use the base price and base forecast from CostSetup to see what must change to hit the monthly target.</t>
        </is>
      </c>
      <c r="B2"/>
      <c r="C2"/>
    </row>
    <row r="3" spans="1:3">
      <c r="A3" t="inlineStr">
        <is>
          <t>Fixed Costs</t>
        </is>
      </c>
      <c r="B3">
        <f>CostSetup!$G$6</f>
        <v>2300</v>
      </c>
      <c r="C3"/>
    </row>
    <row r="4" spans="1:3">
      <c r="A4" t="inlineStr">
        <is>
          <t>Variable Cost per Unit</t>
        </is>
      </c>
      <c r="B4">
        <f>CostSetup!$G$7</f>
        <v>14.0</v>
      </c>
      <c r="C4"/>
    </row>
    <row r="5" spans="1:3">
      <c r="A5" t="inlineStr">
        <is>
          <t>Target Monthly Profit</t>
        </is>
      </c>
      <c r="B5">
        <f>CostSetup!$G$9</f>
        <v>500</v>
      </c>
      <c r="C5"/>
    </row>
    <row r="6" spans="1:3">
      <c r="A6" t="inlineStr">
        <is>
          <t>Base Price</t>
        </is>
      </c>
      <c r="B6">
        <f>CostSetup!$G$10</f>
        <v>28</v>
      </c>
      <c r="C6"/>
    </row>
    <row r="7" spans="1:3">
      <c r="A7" t="inlineStr">
        <is>
          <t>Base Forecast Units</t>
        </is>
      </c>
      <c r="B7">
        <f>CostSetup!$G$11</f>
        <v>190</v>
      </c>
      <c r="C7"/>
    </row>
    <row r="8" spans="1:3">
      <c r="A8" t="inlineStr">
        <is>
          <t>Capacity</t>
        </is>
      </c>
      <c r="B8">
        <f>CostSetup!$G$8</f>
        <v>220</v>
      </c>
      <c r="C8"/>
    </row>
    <row r="9" spans="1:3">
      <c r="A9" t="inlineStr">
        <is>
          <t>Contribution Margin @ Base Price</t>
        </is>
      </c>
      <c r="B9">
        <f>B6-B4</f>
        <v>14.0</v>
      </c>
      <c r="C9"/>
    </row>
    <row r="10" spans="1:3">
      <c r="A10"/>
      <c r="B10"/>
      <c r="C10"/>
    </row>
    <row r="11" spans="1:3">
      <c r="A11" t="inlineStr">
        <is>
          <t>Required Units at Base Price</t>
        </is>
      </c>
      <c r="B11">
        <f>ROUNDUP((B3+B5)/B9,0)</f>
        <v>200</v>
      </c>
      <c r="C11" t="inlineStr">
        <is>
          <t>Compare this to capacity</t>
        </is>
      </c>
    </row>
    <row r="12" spans="1:3">
      <c r="A12" t="inlineStr">
        <is>
          <t>Feasible at Capacity?</t>
        </is>
      </c>
      <c r="B12" t="str">
        <f>IF(B11&lt;=B8,"Yes","No")</f>
        <v>Yes</v>
      </c>
      <c r="C12"/>
    </row>
    <row r="13" spans="1:3">
      <c r="A13"/>
      <c r="B13"/>
      <c r="C13"/>
    </row>
    <row r="14" spans="1:3">
      <c r="A14" t="inlineStr">
        <is>
          <t>Required Price at Base Forecast</t>
        </is>
      </c>
      <c r="B14">
        <f>B4+((B3+B5)/B7)</f>
        <v>28.74</v>
      </c>
      <c r="C14" t="inlineStr">
        <is>
          <t>Hold forecast units constant</t>
        </is>
      </c>
    </row>
    <row r="15" spans="1:3">
      <c r="A15" t="inlineStr">
        <is>
          <t>Price Change Needed</t>
        </is>
      </c>
      <c r="B15">
        <f>B14-B6</f>
        <v>0.74</v>
      </c>
      <c r="C15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A1" sqref="A1"/>
    </sheetView>
  </sheetViews>
  <sheetFormatPr defaultRowHeight="15"/>
  <sheetData>
    <row r="1" spans="1:2">
      <c r="A1" s="1" t="inlineStr">
        <is>
          <t>PriceSensitivity - One-variable price scan</t>
        </is>
      </c>
      <c r="B1"/>
    </row>
    <row r="2" spans="1:2">
      <c r="A2" t="inlineStr">
        <is>
          <t>Assumption: forecast volume stays at the base plan while price changes.</t>
        </is>
      </c>
      <c r="B2"/>
    </row>
    <row r="3" spans="1:2">
      <c r="A3" t="inlineStr">
        <is>
          <t>Fixed Costs</t>
        </is>
      </c>
      <c r="B3">
        <f>CostSetup!$G$6</f>
        <v>2300</v>
      </c>
    </row>
    <row r="4" spans="1:2">
      <c r="A4" t="inlineStr">
        <is>
          <t>Variable Cost per Unit</t>
        </is>
      </c>
      <c r="B4">
        <f>CostSetup!$G$7</f>
        <v>14.0</v>
      </c>
    </row>
    <row r="5" spans="1:2">
      <c r="A5" t="inlineStr">
        <is>
          <t>Assumed Units</t>
        </is>
      </c>
      <c r="B5">
        <f>CostSetup!$G$11</f>
        <v>190</v>
      </c>
    </row>
    <row r="6" spans="1:2">
      <c r="A6"/>
      <c r="B6"/>
    </row>
    <row r="7" spans="1:2">
      <c r="A7" s="1" t="inlineStr">
        <is>
          <t>Price</t>
        </is>
      </c>
      <c r="B7" s="1" t="inlineStr">
        <is>
          <t>Projected Profit</t>
        </is>
      </c>
    </row>
    <row r="8" spans="1:2">
      <c r="A8">
        <v>24</v>
      </c>
      <c r="B8">
        <f>(A8-$B$4)*$B$5-$B$3</f>
        <v>-400.0</v>
      </c>
    </row>
    <row r="9" spans="1:2">
      <c r="A9">
        <v>26</v>
      </c>
      <c r="B9">
        <f>(A9-$B$4)*$B$5-$B$3</f>
        <v>-20.0</v>
      </c>
    </row>
    <row r="10" spans="1:2">
      <c r="A10">
        <v>28</v>
      </c>
      <c r="B10">
        <f>(A10-$B$4)*$B$5-$B$3</f>
        <v>360.0</v>
      </c>
    </row>
    <row r="11" spans="1:2">
      <c r="A11">
        <v>30</v>
      </c>
      <c r="B11">
        <f>(A11-$B$4)*$B$5-$B$3</f>
        <v>740.0</v>
      </c>
    </row>
    <row r="12" spans="1:2">
      <c r="A12">
        <v>32</v>
      </c>
      <c r="B12">
        <f>(A12-$B$4)*$B$5-$B$3</f>
        <v>1120.0</v>
      </c>
    </row>
    <row r="13" spans="1:2">
      <c r="A13">
        <v>34</v>
      </c>
      <c r="B13">
        <f>(A13-$B$4)*$B$5-$B$3</f>
        <v>1500.0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A1" sqref="A1"/>
    </sheetView>
  </sheetViews>
  <sheetFormatPr defaultRowHeight="15"/>
  <sheetData>
    <row r="1" spans="1:6">
      <c r="A1" s="1" t="inlineStr">
        <is>
          <t>ProfitMatrix - Price and volume landscape</t>
        </is>
      </c>
      <c r="B1"/>
      <c r="C1"/>
      <c r="D1"/>
      <c r="E1"/>
      <c r="F1"/>
    </row>
    <row r="2" spans="1:6">
      <c r="A2" t="inlineStr">
        <is>
          <t>This grid helps the team defend the recommendation during Q&amp;A.</t>
        </is>
      </c>
      <c r="B2"/>
      <c r="C2"/>
      <c r="D2"/>
      <c r="E2"/>
      <c r="F2"/>
    </row>
    <row r="3" spans="1:6">
      <c r="A3" t="inlineStr">
        <is>
          <t>Fixed Costs</t>
        </is>
      </c>
      <c r="B3">
        <f>CostSetup!$G$6</f>
        <v>2300</v>
      </c>
      <c r="C3" t="inlineStr">
        <is>
          <t>Variable Cost per Unit</t>
        </is>
      </c>
      <c r="D3">
        <f>CostSetup!$G$7</f>
        <v>14.0</v>
      </c>
      <c r="E3"/>
      <c r="F3"/>
    </row>
    <row r="4" spans="1:6">
      <c r="A4"/>
      <c r="B4"/>
      <c r="C4"/>
      <c r="D4"/>
      <c r="E4"/>
      <c r="F4"/>
    </row>
    <row r="5" spans="1:6">
      <c r="A5" s="1" t="inlineStr">
        <is>
          <t>Price / Volume</t>
        </is>
      </c>
      <c r="B5" s="1">
        <v>140</v>
      </c>
      <c r="C5" s="1">
        <v>160</v>
      </c>
      <c r="D5" s="1">
        <v>180</v>
      </c>
      <c r="E5" s="1">
        <v>200</v>
      </c>
      <c r="F5" s="1">
        <v>220</v>
      </c>
    </row>
    <row r="6" spans="1:6">
      <c r="A6" s="1">
        <v>24</v>
      </c>
      <c r="B6">
        <f>($A6-$D$3)*B$5-$B$3</f>
        <v>-900.0</v>
      </c>
      <c r="C6">
        <f>($A6-$D$3)*C$5-$B$3</f>
        <v>-700.0</v>
      </c>
      <c r="D6">
        <f>($A6-$D$3)*D$5-$B$3</f>
        <v>-500.0</v>
      </c>
      <c r="E6">
        <f>($A6-$D$3)*E$5-$B$3</f>
        <v>-300.0</v>
      </c>
      <c r="F6">
        <f>($A6-$D$3)*F$5-$B$3</f>
        <v>-100.0</v>
      </c>
    </row>
    <row r="7" spans="1:6">
      <c r="A7" s="1">
        <v>26</v>
      </c>
      <c r="B7">
        <f>($A7-$D$3)*B$5-$B$3</f>
        <v>-620.0</v>
      </c>
      <c r="C7">
        <f>($A7-$D$3)*C$5-$B$3</f>
        <v>-380.0</v>
      </c>
      <c r="D7">
        <f>($A7-$D$3)*D$5-$B$3</f>
        <v>-140.0</v>
      </c>
      <c r="E7">
        <f>($A7-$D$3)*E$5-$B$3</f>
        <v>100.0</v>
      </c>
      <c r="F7">
        <f>($A7-$D$3)*F$5-$B$3</f>
        <v>340.0</v>
      </c>
    </row>
    <row r="8" spans="1:6">
      <c r="A8" s="1">
        <v>28</v>
      </c>
      <c r="B8">
        <f>($A8-$D$3)*B$5-$B$3</f>
        <v>-340.0</v>
      </c>
      <c r="C8">
        <f>($A8-$D$3)*C$5-$B$3</f>
        <v>-60.0</v>
      </c>
      <c r="D8">
        <f>($A8-$D$3)*D$5-$B$3</f>
        <v>220.0</v>
      </c>
      <c r="E8">
        <f>($A8-$D$3)*E$5-$B$3</f>
        <v>500.0</v>
      </c>
      <c r="F8">
        <f>($A8-$D$3)*F$5-$B$3</f>
        <v>780.0</v>
      </c>
    </row>
    <row r="9" spans="1:6">
      <c r="A9" s="1">
        <v>30</v>
      </c>
      <c r="B9">
        <f>($A9-$D$3)*B$5-$B$3</f>
        <v>-60.0</v>
      </c>
      <c r="C9">
        <f>($A9-$D$3)*C$5-$B$3</f>
        <v>260.0</v>
      </c>
      <c r="D9">
        <f>($A9-$D$3)*D$5-$B$3</f>
        <v>580.0</v>
      </c>
      <c r="E9">
        <f>($A9-$D$3)*E$5-$B$3</f>
        <v>900.0</v>
      </c>
      <c r="F9">
        <f>($A9-$D$3)*F$5-$B$3</f>
        <v>1220.0</v>
      </c>
    </row>
    <row r="10" spans="1:6">
      <c r="A10" s="1">
        <v>32</v>
      </c>
      <c r="B10">
        <f>($A10-$D$3)*B$5-$B$3</f>
        <v>220.0</v>
      </c>
      <c r="C10">
        <f>($A10-$D$3)*C$5-$B$3</f>
        <v>580.0</v>
      </c>
      <c r="D10">
        <f>($A10-$D$3)*D$5-$B$3</f>
        <v>940.0</v>
      </c>
      <c r="E10">
        <f>($A10-$D$3)*E$5-$B$3</f>
        <v>1300.0</v>
      </c>
      <c r="F10">
        <f>($A10-$D$3)*F$5-$B$3</f>
        <v>1660.0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A1" sqref="A1"/>
    </sheetView>
  </sheetViews>
  <sheetFormatPr defaultRowHeight="15"/>
  <sheetData>
    <row r="1" spans="1:4">
      <c r="A1" s="1" t="inlineStr">
        <is>
          <t>Dashboard - Final recommendation</t>
        </is>
      </c>
      <c r="B1"/>
      <c r="C1"/>
      <c r="D1"/>
    </row>
    <row r="2" spans="1:4">
      <c r="A2" t="inlineStr">
        <is>
          <t>Choose one option and use the linked metrics below to defend the pricing decision.</t>
        </is>
      </c>
      <c r="B2"/>
      <c r="C2"/>
      <c r="D2"/>
    </row>
    <row r="3" spans="1:4">
      <c r="A3" t="inlineStr">
        <is>
          <t>Recommended Option</t>
        </is>
      </c>
      <c r="B3" t="inlineStr">
        <is>
          <t>Premium Drop</t>
        </is>
      </c>
      <c r="C3"/>
      <c r="D3"/>
    </row>
    <row r="4" spans="1:4">
      <c r="A4"/>
      <c r="B4"/>
      <c r="C4"/>
      <c r="D4"/>
    </row>
    <row r="5" spans="1:4">
      <c r="A5" s="1" t="inlineStr">
        <is>
          <t>Metric</t>
        </is>
      </c>
      <c r="B5" s="1" t="inlineStr">
        <is>
          <t>Value</t>
        </is>
      </c>
      <c r="C5"/>
      <c r="D5"/>
    </row>
    <row r="6" spans="1:4">
      <c r="A6" t="inlineStr">
        <is>
          <t>Recommended Price</t>
        </is>
      </c>
      <c r="B6">
        <f>IF(B3="","",XLOOKUP(B3,PriceOptions!$A$7:$A$9,PriceOptions!$B$7:$B$9))</f>
        <v>32</v>
      </c>
      <c r="C6"/>
      <c r="D6"/>
    </row>
    <row r="7" spans="1:4">
      <c r="A7" t="inlineStr">
        <is>
          <t>Forecast Units</t>
        </is>
      </c>
      <c r="B7">
        <f>IF(B3="","",XLOOKUP(B3,PriceOptions!$A$7:$A$9,PriceOptions!$C$7:$C$9))</f>
        <v>160</v>
      </c>
      <c r="C7"/>
      <c r="D7"/>
    </row>
    <row r="8" spans="1:4">
      <c r="A8" t="inlineStr">
        <is>
          <t>Projected Profit</t>
        </is>
      </c>
      <c r="B8">
        <f>IF(B3="","",XLOOKUP(B3,PriceOptions!$A$7:$A$9,PriceOptions!$G$7:$G$9))</f>
        <v>580.0</v>
      </c>
      <c r="C8"/>
      <c r="D8"/>
    </row>
    <row r="9" spans="1:4">
      <c r="A9" t="inlineStr">
        <is>
          <t>Break-Even Units</t>
        </is>
      </c>
      <c r="B9">
        <f>IF(B3="","",XLOOKUP(B3,Feasibility!$A$6:$A$8,Feasibility!$C$6:$C$8))</f>
        <v>128</v>
      </c>
      <c r="C9"/>
      <c r="D9"/>
    </row>
    <row r="10" spans="1:4">
      <c r="A10" t="inlineStr">
        <is>
          <t>Target Met?</t>
        </is>
      </c>
      <c r="B10" t="str">
        <f>IF(B3="","",IF(B8&gt;=CostSetup!$G$9,"Yes","No"))</f>
        <v>Yes</v>
      </c>
      <c r="C10"/>
      <c r="D10"/>
    </row>
    <row r="11" spans="1:4">
      <c r="A11" t="inlineStr">
        <is>
          <t>Capacity OK?</t>
        </is>
      </c>
      <c r="B11" t="str">
        <f>IF(B3="","",XLOOKUP(B3,Feasibility!$A$6:$A$8,Feasibility!$E$6:$E$8))</f>
        <v>Yes</v>
      </c>
      <c r="C11"/>
      <c r="D11"/>
    </row>
    <row r="12" spans="1:4">
      <c r="A12" t="inlineStr">
        <is>
          <t>Downside Profit</t>
        </is>
      </c>
      <c r="B12">
        <v>-400.0</v>
      </c>
      <c r="C12"/>
      <c r="D12"/>
    </row>
    <row r="13" spans="1:4">
      <c r="A13" t="inlineStr">
        <is>
          <t>Upside Profit</t>
        </is>
      </c>
      <c r="B13">
        <v>1500.0</v>
      </c>
      <c r="C13"/>
      <c r="D13"/>
    </row>
    <row r="14" spans="1:4">
      <c r="A14"/>
      <c r="B14"/>
      <c r="C14"/>
      <c r="D14"/>
    </row>
    <row r="15" spans="1:4">
      <c r="A15" s="1" t="inlineStr">
        <is>
          <t>Recommendation Statement</t>
        </is>
      </c>
      <c r="B15" t="inlineStr">
        <is>
          <t>Recommend Premium Drop at $32. It is the only listed package that clears the target profit while staying within the 220-hoodie monthly capacity.</t>
        </is>
      </c>
      <c r="C15"/>
      <c r="D15"/>
    </row>
    <row r="16" spans="1:4">
      <c r="A16" s="1" t="inlineStr">
        <is>
          <t>Risk Statement</t>
        </is>
      </c>
      <c r="B16" t="inlineStr">
        <is>
          <t>The premium option depends on at least 160 orders. If school demand weakens, the middle tier becomes the safer fallback.</t>
        </is>
      </c>
      <c r="C16"/>
      <c r="D16"/>
    </row>
    <row r="17" spans="1:4">
      <c r="A17"/>
      <c r="B17"/>
      <c r="C17"/>
      <c r="D17"/>
    </row>
    <row r="18" spans="1:4">
      <c r="A18" s="1" t="inlineStr">
        <is>
          <t>Option Summary</t>
        </is>
      </c>
      <c r="B18"/>
      <c r="C18"/>
      <c r="D18"/>
    </row>
    <row r="19" spans="1:4">
      <c r="A19" s="1" t="inlineStr">
        <is>
          <t>Option</t>
        </is>
      </c>
      <c r="B19" s="1" t="inlineStr">
        <is>
          <t>Price</t>
        </is>
      </c>
      <c r="C19" s="1" t="inlineStr">
        <is>
          <t>Forecast Units</t>
        </is>
      </c>
      <c r="D19" s="1" t="inlineStr">
        <is>
          <t>Projected Profit</t>
        </is>
      </c>
    </row>
    <row r="20" spans="1:4">
      <c r="A20" t="inlineStr">
        <is>
          <t>Bulk Spirit</t>
        </is>
      </c>
      <c r="B20">
        <v>24</v>
      </c>
      <c r="C20">
        <v>220</v>
      </c>
      <c r="D20">
        <v>-100.0</v>
      </c>
    </row>
    <row r="21" spans="1:4">
      <c r="A21" t="inlineStr">
        <is>
          <t>Signature Hoodie</t>
        </is>
      </c>
      <c r="B21">
        <v>28</v>
      </c>
      <c r="C21">
        <v>190</v>
      </c>
      <c r="D21">
        <v>360.0</v>
      </c>
    </row>
    <row r="22" spans="1:4">
      <c r="A22" t="inlineStr">
        <is>
          <t>Premium Drop</t>
        </is>
      </c>
      <c r="B22">
        <v>32</v>
      </c>
      <c r="C22">
        <v>160</v>
      </c>
      <c r="D22">
        <v>580.0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CostSetup</vt:lpstr>
      <vt:lpstr>PriceOptions</vt:lpstr>
      <vt:lpstr>Feasibility</vt:lpstr>
      <vt:lpstr>TargetProfit</vt:lpstr>
      <vt:lpstr>PriceSensitivity</vt:lpstr>
      <vt:lpstr>ProfitMatrix</vt:lpstr>
      <vt:lpstr>Dashboard</vt:lpstr>
    </vt:vector>
  </TitlesOfParts>
  <Company>Math for Business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 for Business Operations</dc:creator>
  <cp:lastModifiedBy>Math for Business Operations</cp:lastModifiedBy>
  <dcterms:created xsi:type="dcterms:W3CDTF">2026-03-06T12:00:00Z</dcterms:created>
  <dcterms:modified xsi:type="dcterms:W3CDTF">2026-03-06T12:00:00Z</dcterms:modified>
</cp:coreProperties>
</file>