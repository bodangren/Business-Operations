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2 - Northside Print Lab Pricing Project</t>
        </is>
      </c>
      <c r="B1"/>
      <c r="C1"/>
      <c r="D1"/>
      <c r="E1"/>
      <c r="F1"/>
      <c r="G1"/>
      <c r="H1"/>
    </row>
    <row r="2" spans="1:8">
      <c r="A2" t="inlineStr">
        <is>
          <t>Custom Hoodie Print Shop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Shop rent</t>
        </is>
      </c>
      <c r="B6">
        <v>900</v>
      </c>
      <c r="C6" t="inlineStr">
        <is>
          <t>Fixed</t>
        </is>
      </c>
      <c r="D6" t="inlineStr">
        <is>
          <t>Monthly storefront rent</t>
        </is>
      </c>
      <c r="E6"/>
      <c r="F6" t="inlineStr">
        <is>
          <t>Fixed Costs Total</t>
        </is>
      </c>
      <c r="G6">
        <f>SUMIF($C$6:$C$17,"Fixed",$B$6:$B$17)</f>
        <v>2300</v>
      </c>
      <c r="H6"/>
    </row>
    <row r="7" spans="1:8">
      <c r="A7" t="inlineStr">
        <is>
          <t>Utilities base charge</t>
        </is>
      </c>
      <c r="B7">
        <v>180</v>
      </c>
      <c r="C7" t="inlineStr">
        <is>
          <t>Fixed</t>
        </is>
      </c>
      <c r="D7" t="inlineStr">
        <is>
          <t>Base utilities</t>
        </is>
      </c>
      <c r="E7"/>
      <c r="F7" t="inlineStr">
        <is>
          <t>Variable Cost per Unit</t>
        </is>
      </c>
      <c r="G7">
        <f>SUMIF($C$6:$C$17,"Variable",$B$6:$B$17)</f>
        <v>14.0</v>
      </c>
      <c r="H7"/>
    </row>
    <row r="8" spans="1:8">
      <c r="A8" t="inlineStr">
        <is>
          <t>Website storefront</t>
        </is>
      </c>
      <c r="B8">
        <v>70</v>
      </c>
      <c r="C8" t="inlineStr">
        <is>
          <t>Fixed</t>
        </is>
      </c>
      <c r="D8" t="inlineStr">
        <is>
          <t>Online ordering</t>
        </is>
      </c>
      <c r="E8"/>
      <c r="F8" t="inlineStr">
        <is>
          <t>Monthly Capacity</t>
        </is>
      </c>
      <c r="G8">
        <v>220</v>
      </c>
      <c r="H8"/>
    </row>
    <row r="9" spans="1:8">
      <c r="A9" t="inlineStr">
        <is>
          <t>Equipment lease</t>
        </is>
      </c>
      <c r="B9">
        <v>450</v>
      </c>
      <c r="C9" t="inlineStr">
        <is>
          <t>Fixed</t>
        </is>
      </c>
      <c r="D9" t="inlineStr">
        <is>
          <t>Press and cutter</t>
        </is>
      </c>
      <c r="E9"/>
      <c r="F9" t="inlineStr">
        <is>
          <t>Target Monthly Profit</t>
        </is>
      </c>
      <c r="G9">
        <v>500</v>
      </c>
      <c r="H9"/>
    </row>
    <row r="10" spans="1:8">
      <c r="A10" t="inlineStr">
        <is>
          <t>Insurance</t>
        </is>
      </c>
      <c r="B10">
        <v>140</v>
      </c>
      <c r="C10" t="inlineStr">
        <is>
          <t>Fixed</t>
        </is>
      </c>
      <c r="D10" t="inlineStr">
        <is>
          <t>General coverage</t>
        </is>
      </c>
      <c r="E10"/>
      <c r="F10" t="inlineStr">
        <is>
          <t>Base Price</t>
        </is>
      </c>
      <c r="G10">
        <v>28</v>
      </c>
      <c r="H10"/>
    </row>
    <row r="11" spans="1:8">
      <c r="A11" t="inlineStr">
        <is>
          <t>Marketing retainer</t>
        </is>
      </c>
      <c r="B11">
        <v>220</v>
      </c>
      <c r="C11" t="inlineStr">
        <is>
          <t>Fixed</t>
        </is>
      </c>
      <c r="D11" t="inlineStr">
        <is>
          <t>Monthly ads</t>
        </is>
      </c>
      <c r="E11"/>
      <c r="F11" t="inlineStr">
        <is>
          <t>Forecast Units @ Base Price</t>
        </is>
      </c>
      <c r="G11">
        <v>190</v>
      </c>
      <c r="H11"/>
    </row>
    <row r="12" spans="1:8">
      <c r="A12" t="inlineStr">
        <is>
          <t>Admin stipend</t>
        </is>
      </c>
      <c r="B12">
        <v>340</v>
      </c>
      <c r="C12" t="inlineStr">
        <is>
          <t>Fixed</t>
        </is>
      </c>
      <c r="D12" t="inlineStr">
        <is>
          <t>Part-time admin</t>
        </is>
      </c>
      <c r="E12"/>
      <c r="F12" t="inlineStr">
        <is>
          <t>Suggested Price Band</t>
        </is>
      </c>
      <c r="G12" t="inlineStr">
        <is>
          <t>$24-$32 per hoodie</t>
        </is>
      </c>
      <c r="H12"/>
    </row>
    <row r="13" spans="1:8">
      <c r="A13" t="inlineStr">
        <is>
          <t>Blank hoodie</t>
        </is>
      </c>
      <c r="B13">
        <v>8.0</v>
      </c>
      <c r="C13" t="inlineStr">
        <is>
          <t>Variable</t>
        </is>
      </c>
      <c r="D13" t="inlineStr">
        <is>
          <t>Per unit material</t>
        </is>
      </c>
      <c r="E13"/>
      <c r="F13"/>
      <c r="G13"/>
      <c r="H13"/>
    </row>
    <row r="14" spans="1:8">
      <c r="A14" t="inlineStr">
        <is>
          <t>Ink</t>
        </is>
      </c>
      <c r="B14">
        <v>1.75</v>
      </c>
      <c r="C14" t="inlineStr">
        <is>
          <t>Variable</t>
        </is>
      </c>
      <c r="D14" t="inlineStr">
        <is>
          <t>Per unit ink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Packaging</t>
        </is>
      </c>
      <c r="B15">
        <v>0.75</v>
      </c>
      <c r="C15" t="inlineStr">
        <is>
          <t>Variable</t>
        </is>
      </c>
      <c r="D15" t="inlineStr">
        <is>
          <t>Per unit bag</t>
        </is>
      </c>
      <c r="E15"/>
      <c r="F15" t="inlineStr">
        <is>
          <t>Bulk Spirit</t>
        </is>
      </c>
      <c r="G15">
        <v>24</v>
      </c>
      <c r="H15">
        <v>220</v>
      </c>
    </row>
    <row r="16" spans="1:8">
      <c r="A16" t="inlineStr">
        <is>
          <t>Card fees</t>
        </is>
      </c>
      <c r="B16">
        <v>0.9</v>
      </c>
      <c r="C16" t="inlineStr">
        <is>
          <t>Variable</t>
        </is>
      </c>
      <c r="D16" t="inlineStr">
        <is>
          <t>Per unit processing</t>
        </is>
      </c>
      <c r="E16"/>
      <c r="F16" t="inlineStr">
        <is>
          <t>Signature Hoodie</t>
        </is>
      </c>
      <c r="G16">
        <v>28</v>
      </c>
      <c r="H16">
        <v>190</v>
      </c>
    </row>
    <row r="17" spans="1:8">
      <c r="A17" t="inlineStr">
        <is>
          <t>Print labor</t>
        </is>
      </c>
      <c r="B17">
        <v>2.6</v>
      </c>
      <c r="C17" t="inlineStr">
        <is>
          <t>Variable</t>
        </is>
      </c>
      <c r="D17" t="inlineStr">
        <is>
          <t>Per unit labor</t>
        </is>
      </c>
      <c r="E17"/>
      <c r="F17" t="inlineStr">
        <is>
          <t>Premium Drop</t>
        </is>
      </c>
      <c r="G17">
        <v>32</v>
      </c>
      <c r="H17">
        <v>160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2300</v>
      </c>
      <c r="C3" t="inlineStr">
        <is>
          <t>Capacity</t>
        </is>
      </c>
      <c r="D3">
        <f>CostSetup!$G$8</f>
        <v>220</v>
      </c>
      <c r="E3"/>
      <c r="F3"/>
      <c r="G3"/>
    </row>
    <row r="4" spans="1:7">
      <c r="A4" t="inlineStr">
        <is>
          <t>Variable Cost per Unit</t>
        </is>
      </c>
      <c r="B4">
        <f>CostSetup!$G$7</f>
        <v>14.0</v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Bulk Spirit</t>
        </is>
      </c>
      <c r="B7">
        <v>24</v>
      </c>
      <c r="C7">
        <v>220</v>
      </c>
      <c r="D7">
        <f>CostSetup!$G$7</f>
        <v>14.0</v>
      </c>
      <c r="E7">
        <f>B7-D7</f>
        <v>10.0</v>
      </c>
      <c r="F7">
        <f>E7/B7</f>
        <v>0.4167</v>
      </c>
      <c r="G7">
        <f>(B7-D7)*C7-$B$3</f>
        <v>-100.0</v>
      </c>
    </row>
    <row r="8" spans="1:7">
      <c r="A8" t="inlineStr">
        <is>
          <t>Signature Hoodie</t>
        </is>
      </c>
      <c r="B8">
        <v>28</v>
      </c>
      <c r="C8">
        <v>190</v>
      </c>
      <c r="D8">
        <f>CostSetup!$G$7</f>
        <v>14.0</v>
      </c>
      <c r="E8">
        <f>B8-D8</f>
        <v>14.0</v>
      </c>
      <c r="F8">
        <f>E8/B8</f>
        <v>0.5</v>
      </c>
      <c r="G8">
        <f>(B8-D8)*C8-$B$3</f>
        <v>360.0</v>
      </c>
    </row>
    <row r="9" spans="1:7">
      <c r="A9" t="inlineStr">
        <is>
          <t>Premium Drop</t>
        </is>
      </c>
      <c r="B9">
        <v>32</v>
      </c>
      <c r="C9">
        <v>160</v>
      </c>
      <c r="D9">
        <f>CostSetup!$G$7</f>
        <v>14.0</v>
      </c>
      <c r="E9">
        <f>B9-D9</f>
        <v>18.0</v>
      </c>
      <c r="F9">
        <f>E9/B9</f>
        <v>0.5625</v>
      </c>
      <c r="G9">
        <f>(B9-D9)*C9-$B$3</f>
        <v>580.0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2300</v>
      </c>
      <c r="C3" t="inlineStr">
        <is>
          <t>Capacity</t>
        </is>
      </c>
      <c r="D3">
        <f>CostSetup!$G$8</f>
        <v>220</v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Bulk Spirit</t>
        </is>
      </c>
      <c r="B6">
        <f>PriceOptions!C7</f>
        <v>220</v>
      </c>
      <c r="C6">
        <f>ROUNDUP($B$3/(PriceOptions!E7),0)</f>
        <v>230</v>
      </c>
      <c r="D6" t="str">
        <f>IF(B6&gt;=C6,"Yes","No")</f>
        <v>No</v>
      </c>
      <c r="E6" t="str">
        <f>IF(B6&lt;=$D$3,"Yes","No")</f>
        <v>Yes</v>
      </c>
      <c r="F6">
        <f>B6-C6</f>
        <v>-10</v>
      </c>
      <c r="G6">
        <f>PriceOptions!G7</f>
        <v>-100.0</v>
      </c>
    </row>
    <row r="7" spans="1:7">
      <c r="A7" t="inlineStr">
        <is>
          <t>Signature Hoodie</t>
        </is>
      </c>
      <c r="B7">
        <f>PriceOptions!C8</f>
        <v>190</v>
      </c>
      <c r="C7">
        <f>ROUNDUP($B$3/(PriceOptions!E8),0)</f>
        <v>165</v>
      </c>
      <c r="D7" t="str">
        <f>IF(B7&gt;=C7,"Yes","No")</f>
        <v>Yes</v>
      </c>
      <c r="E7" t="str">
        <f>IF(B7&lt;=$D$3,"Yes","No")</f>
        <v>Yes</v>
      </c>
      <c r="F7">
        <f>B7-C7</f>
        <v>25</v>
      </c>
      <c r="G7">
        <f>PriceOptions!G8</f>
        <v>360.0</v>
      </c>
    </row>
    <row r="8" spans="1:7">
      <c r="A8" t="inlineStr">
        <is>
          <t>Premium Drop</t>
        </is>
      </c>
      <c r="B8">
        <f>PriceOptions!C9</f>
        <v>160</v>
      </c>
      <c r="C8">
        <f>ROUNDUP($B$3/(PriceOptions!E9),0)</f>
        <v>128</v>
      </c>
      <c r="D8" t="str">
        <f>IF(B8&gt;=C8,"Yes","No")</f>
        <v>Yes</v>
      </c>
      <c r="E8" t="str">
        <f>IF(B8&lt;=$D$3,"Yes","No")</f>
        <v>Yes</v>
      </c>
      <c r="F8">
        <f>B8-C8</f>
        <v>32</v>
      </c>
      <c r="G8">
        <f>PriceOptions!G9</f>
        <v>580.0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  <v>2300</v>
      </c>
      <c r="C3"/>
    </row>
    <row r="4" spans="1:3">
      <c r="A4" t="inlineStr">
        <is>
          <t>Variable Cost per Unit</t>
        </is>
      </c>
      <c r="B4">
        <f>CostSetup!$G$7</f>
        <v>14.0</v>
      </c>
      <c r="C4"/>
    </row>
    <row r="5" spans="1:3">
      <c r="A5" t="inlineStr">
        <is>
          <t>Target Monthly Profit</t>
        </is>
      </c>
      <c r="B5">
        <f>CostSetup!$G$9</f>
        <v>500</v>
      </c>
      <c r="C5"/>
    </row>
    <row r="6" spans="1:3">
      <c r="A6" t="inlineStr">
        <is>
          <t>Base Price</t>
        </is>
      </c>
      <c r="B6">
        <f>CostSetup!$G$10</f>
        <v>28</v>
      </c>
      <c r="C6"/>
    </row>
    <row r="7" spans="1:3">
      <c r="A7" t="inlineStr">
        <is>
          <t>Base Forecast Units</t>
        </is>
      </c>
      <c r="B7">
        <f>CostSetup!$G$11</f>
        <v>190</v>
      </c>
      <c r="C7"/>
    </row>
    <row r="8" spans="1:3">
      <c r="A8" t="inlineStr">
        <is>
          <t>Capacity</t>
        </is>
      </c>
      <c r="B8">
        <f>CostSetup!$G$8</f>
        <v>220</v>
      </c>
      <c r="C8"/>
    </row>
    <row r="9" spans="1:3">
      <c r="A9" t="inlineStr">
        <is>
          <t>Contribution Margin @ Base Price</t>
        </is>
      </c>
      <c r="B9">
        <f>B6-B4</f>
        <v>14.0</v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  <v>200</v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  <v>Yes</v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  <v>28.74</v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  <v>0.74</v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  <v>2300</v>
      </c>
    </row>
    <row r="4" spans="1:2">
      <c r="A4" t="inlineStr">
        <is>
          <t>Variable Cost per Unit</t>
        </is>
      </c>
      <c r="B4">
        <f>CostSetup!$G$7</f>
        <v>14.0</v>
      </c>
    </row>
    <row r="5" spans="1:2">
      <c r="A5" t="inlineStr">
        <is>
          <t>Assumed Units</t>
        </is>
      </c>
      <c r="B5">
        <f>CostSetup!$G$11</f>
        <v>190</v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24</v>
      </c>
      <c r="B8">
        <f>(A8-$B$4)*$B$5-$B$3</f>
        <v>-400.0</v>
      </c>
    </row>
    <row r="9" spans="1:2">
      <c r="A9">
        <v>26</v>
      </c>
      <c r="B9">
        <f>(A9-$B$4)*$B$5-$B$3</f>
        <v>-20.0</v>
      </c>
    </row>
    <row r="10" spans="1:2">
      <c r="A10">
        <v>28</v>
      </c>
      <c r="B10">
        <f>(A10-$B$4)*$B$5-$B$3</f>
        <v>360.0</v>
      </c>
    </row>
    <row r="11" spans="1:2">
      <c r="A11">
        <v>30</v>
      </c>
      <c r="B11">
        <f>(A11-$B$4)*$B$5-$B$3</f>
        <v>740.0</v>
      </c>
    </row>
    <row r="12" spans="1:2">
      <c r="A12">
        <v>32</v>
      </c>
      <c r="B12">
        <f>(A12-$B$4)*$B$5-$B$3</f>
        <v>1120.0</v>
      </c>
    </row>
    <row r="13" spans="1:2">
      <c r="A13">
        <v>34</v>
      </c>
      <c r="B13">
        <f>(A13-$B$4)*$B$5-$B$3</f>
        <v>1500.0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  <v>2300</v>
      </c>
      <c r="C3" t="inlineStr">
        <is>
          <t>Variable Cost per Unit</t>
        </is>
      </c>
      <c r="D3">
        <f>CostSetup!$G$7</f>
        <v>14.0</v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140</v>
      </c>
      <c r="C5" s="1">
        <v>160</v>
      </c>
      <c r="D5" s="1">
        <v>180</v>
      </c>
      <c r="E5" s="1">
        <v>200</v>
      </c>
      <c r="F5" s="1">
        <v>220</v>
      </c>
    </row>
    <row r="6" spans="1:6">
      <c r="A6" s="1">
        <v>24</v>
      </c>
      <c r="B6">
        <f>($A6-$D$3)*B$5-$B$3</f>
        <v>-900.0</v>
      </c>
      <c r="C6">
        <f>($A6-$D$3)*C$5-$B$3</f>
        <v>-700.0</v>
      </c>
      <c r="D6">
        <f>($A6-$D$3)*D$5-$B$3</f>
        <v>-500.0</v>
      </c>
      <c r="E6">
        <f>($A6-$D$3)*E$5-$B$3</f>
        <v>-300.0</v>
      </c>
      <c r="F6">
        <f>($A6-$D$3)*F$5-$B$3</f>
        <v>-100.0</v>
      </c>
    </row>
    <row r="7" spans="1:6">
      <c r="A7" s="1">
        <v>26</v>
      </c>
      <c r="B7">
        <f>($A7-$D$3)*B$5-$B$3</f>
        <v>-620.0</v>
      </c>
      <c r="C7">
        <f>($A7-$D$3)*C$5-$B$3</f>
        <v>-380.0</v>
      </c>
      <c r="D7">
        <f>($A7-$D$3)*D$5-$B$3</f>
        <v>-140.0</v>
      </c>
      <c r="E7">
        <f>($A7-$D$3)*E$5-$B$3</f>
        <v>100.0</v>
      </c>
      <c r="F7">
        <f>($A7-$D$3)*F$5-$B$3</f>
        <v>340.0</v>
      </c>
    </row>
    <row r="8" spans="1:6">
      <c r="A8" s="1">
        <v>28</v>
      </c>
      <c r="B8">
        <f>($A8-$D$3)*B$5-$B$3</f>
        <v>-340.0</v>
      </c>
      <c r="C8">
        <f>($A8-$D$3)*C$5-$B$3</f>
        <v>-60.0</v>
      </c>
      <c r="D8">
        <f>($A8-$D$3)*D$5-$B$3</f>
        <v>220.0</v>
      </c>
      <c r="E8">
        <f>($A8-$D$3)*E$5-$B$3</f>
        <v>500.0</v>
      </c>
      <c r="F8">
        <f>($A8-$D$3)*F$5-$B$3</f>
        <v>780.0</v>
      </c>
    </row>
    <row r="9" spans="1:6">
      <c r="A9" s="1">
        <v>30</v>
      </c>
      <c r="B9">
        <f>($A9-$D$3)*B$5-$B$3</f>
        <v>-60.0</v>
      </c>
      <c r="C9">
        <f>($A9-$D$3)*C$5-$B$3</f>
        <v>260.0</v>
      </c>
      <c r="D9">
        <f>($A9-$D$3)*D$5-$B$3</f>
        <v>580.0</v>
      </c>
      <c r="E9">
        <f>($A9-$D$3)*E$5-$B$3</f>
        <v>900.0</v>
      </c>
      <c r="F9">
        <f>($A9-$D$3)*F$5-$B$3</f>
        <v>1220.0</v>
      </c>
    </row>
    <row r="10" spans="1:6">
      <c r="A10" s="1">
        <v>32</v>
      </c>
      <c r="B10">
        <f>($A10-$D$3)*B$5-$B$3</f>
        <v>220.0</v>
      </c>
      <c r="C10">
        <f>($A10-$D$3)*C$5-$B$3</f>
        <v>580.0</v>
      </c>
      <c r="D10">
        <f>($A10-$D$3)*D$5-$B$3</f>
        <v>940.0</v>
      </c>
      <c r="E10">
        <f>($A10-$D$3)*E$5-$B$3</f>
        <v>1300.0</v>
      </c>
      <c r="F10">
        <f>($A10-$D$3)*F$5-$B$3</f>
        <v>1660.0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>Premium Drop</t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  <v>32</v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  <v>160</v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  <v>580.0</v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  <v>128</v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  <v>Yes</v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  <v>Yes</v>
      </c>
      <c r="C11"/>
      <c r="D11"/>
    </row>
    <row r="12" spans="1:4">
      <c r="A12" t="inlineStr">
        <is>
          <t>Downside Profit</t>
        </is>
      </c>
      <c r="B12">
        <v>-400.0</v>
      </c>
      <c r="C12"/>
      <c r="D12"/>
    </row>
    <row r="13" spans="1:4">
      <c r="A13" t="inlineStr">
        <is>
          <t>Upside Profit</t>
        </is>
      </c>
      <c r="B13">
        <v>1500.0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>Recommend Premium Drop at $32. It is the only listed package that clears the target profit while staying within the 220-hoodie monthly capacity.</t>
        </is>
      </c>
      <c r="C15"/>
      <c r="D15"/>
    </row>
    <row r="16" spans="1:4">
      <c r="A16" s="1" t="inlineStr">
        <is>
          <t>Risk Statement</t>
        </is>
      </c>
      <c r="B16" t="inlineStr">
        <is>
          <t>The premium option depends on at least 160 orders. If school demand weakens, the middle tier becomes the safer fallback.</t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Bulk Spirit</t>
        </is>
      </c>
      <c r="B20">
        <v>24</v>
      </c>
      <c r="C20">
        <v>220</v>
      </c>
      <c r="D20">
        <v>-100.0</v>
      </c>
    </row>
    <row r="21" spans="1:4">
      <c r="A21" t="inlineStr">
        <is>
          <t>Signature Hoodie</t>
        </is>
      </c>
      <c r="B21">
        <v>28</v>
      </c>
      <c r="C21">
        <v>190</v>
      </c>
      <c r="D21">
        <v>360.0</v>
      </c>
    </row>
    <row r="22" spans="1:4">
      <c r="A22" t="inlineStr">
        <is>
          <t>Premium Drop</t>
        </is>
      </c>
      <c r="B22">
        <v>32</v>
      </c>
      <c r="C22">
        <v>160</v>
      </c>
      <c r="D22">
        <v>580.0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