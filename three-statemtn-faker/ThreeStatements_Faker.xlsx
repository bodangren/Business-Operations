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ements" state="visible" r:id="rId4"/>
    <sheet sheetId="2" name="BeginningBalances" state="visible" r:id="rId5"/>
    <sheet sheetId="3" name="Ratios" state="visible" r:id="rId6"/>
  </sheets>
  <calcPr calcId="171027"/>
</workbook>
</file>

<file path=xl/sharedStrings.xml><?xml version="1.0" encoding="utf-8"?>
<sst xmlns="http://schemas.openxmlformats.org/spreadsheetml/2006/main" count="176" uniqueCount="123">
  <si>
    <t>Element</t>
  </si>
  <si>
    <t>Amount</t>
  </si>
  <si>
    <t>DEALER</t>
  </si>
  <si>
    <t>Hint</t>
  </si>
  <si>
    <t>Sales Revenue</t>
  </si>
  <si>
    <t>R</t>
  </si>
  <si>
    <t>Topline sales (credit).</t>
  </si>
  <si>
    <t>Sales Returns &amp; Allowances</t>
  </si>
  <si>
    <t>E</t>
  </si>
  <si>
    <t>Contra-revenue (debit).</t>
  </si>
  <si>
    <t>Service Revenue</t>
  </si>
  <si>
    <t>Earned services (credit).</t>
  </si>
  <si>
    <t>Cost of Goods Sold</t>
  </si>
  <si>
    <t>Expense when inventory is sold.</t>
  </si>
  <si>
    <t>Rent Expense</t>
  </si>
  <si>
    <t>Period expense.</t>
  </si>
  <si>
    <t>Wages Expense</t>
  </si>
  <si>
    <t>Utilities Expense</t>
  </si>
  <si>
    <t>Depreciation Expense</t>
  </si>
  <si>
    <t>Noncash add-back on C/F.</t>
  </si>
  <si>
    <t>Interest Income</t>
  </si>
  <si>
    <t>Other income (credit).</t>
  </si>
  <si>
    <t>Interest Expense</t>
  </si>
  <si>
    <t>Financing cost.</t>
  </si>
  <si>
    <t>Income Tax Expense</t>
  </si>
  <si>
    <t>Tax on profit.</t>
  </si>
  <si>
    <t>Owner Draw / Dividends</t>
  </si>
  <si>
    <t>D</t>
  </si>
  <si>
    <t>Distribution to owners; not an expense.</t>
  </si>
  <si>
    <t>Cash</t>
  </si>
  <si>
    <t>A</t>
  </si>
  <si>
    <t>Ending cash; ties to Cash Flow ending.</t>
  </si>
  <si>
    <t>Accounts Receivable</t>
  </si>
  <si>
    <t>WC asset (affects C/F).</t>
  </si>
  <si>
    <t>Inventory</t>
  </si>
  <si>
    <t>Prepaid Rent</t>
  </si>
  <si>
    <t>Supplies</t>
  </si>
  <si>
    <t>Equipment</t>
  </si>
  <si>
    <t>Long-term asset.</t>
  </si>
  <si>
    <t>Accumulated Depreciation - Equip.</t>
  </si>
  <si>
    <t>Contra-asset (credit).</t>
  </si>
  <si>
    <t>Accounts Payable</t>
  </si>
  <si>
    <t>L</t>
  </si>
  <si>
    <t>WC liability (affects C/F).</t>
  </si>
  <si>
    <t>Wages Payable</t>
  </si>
  <si>
    <t>Unearned Revenue</t>
  </si>
  <si>
    <t>Interest Payable</t>
  </si>
  <si>
    <t>Bank Loan (Long-term)</t>
  </si>
  <si>
    <t>Long-term liability.</t>
  </si>
  <si>
    <t>Common Stock</t>
  </si>
  <si>
    <t>Contributed capital (credit).</t>
  </si>
  <si>
    <t>Retained Earnings (Beg.)</t>
  </si>
  <si>
    <t>Rolls forward each period.</t>
  </si>
  <si>
    <t>Account</t>
  </si>
  <si>
    <t>Beginning_Balance</t>
  </si>
  <si>
    <t>Notes</t>
  </si>
  <si>
    <t>↑ better: margins, ROA/ROE, Current/Quick, A/R Turnover, Inv Turnover</t>
  </si>
  <si>
    <t>↓ better: Debt-to-Equity (risk), DSO (days), DIO (days)</t>
  </si>
  <si>
    <t>Net Revenue</t>
  </si>
  <si>
    <t>COGS</t>
  </si>
  <si>
    <t>Gross Profit</t>
  </si>
  <si>
    <t>Operating Expenses (sum)</t>
  </si>
  <si>
    <t>Operating Income</t>
  </si>
  <si>
    <t>Income Before Tax</t>
  </si>
  <si>
    <t>Net Income</t>
  </si>
  <si>
    <t>Cash (End)</t>
  </si>
  <si>
    <t>A/R (End)</t>
  </si>
  <si>
    <t>Inventory (End)</t>
  </si>
  <si>
    <t>Prepaid Rent (End)</t>
  </si>
  <si>
    <t>Supplies (End)</t>
  </si>
  <si>
    <t>A/P (End)</t>
  </si>
  <si>
    <t>Wages Payable (End)</t>
  </si>
  <si>
    <t>Unearned Revenue (End)</t>
  </si>
  <si>
    <t>Interest Payable (End)</t>
  </si>
  <si>
    <t>Equipment (End)</t>
  </si>
  <si>
    <t>Accum Dep (End)</t>
  </si>
  <si>
    <t>Bank Loan LT (End)</t>
  </si>
  <si>
    <t>Common Stock (End)</t>
  </si>
  <si>
    <t>Dividends (Period)</t>
  </si>
  <si>
    <t>RE (Beg from Elements)</t>
  </si>
  <si>
    <t>Total Current Assets (End)</t>
  </si>
  <si>
    <t>Net PPE (End)</t>
  </si>
  <si>
    <t>Total Assets (End)</t>
  </si>
  <si>
    <t>Total Current Liab (End)</t>
  </si>
  <si>
    <t>Total Liabilities (End)</t>
  </si>
  <si>
    <t>RE (End)</t>
  </si>
  <si>
    <t>Total Equity (End)</t>
  </si>
  <si>
    <t>Cash (Beg)</t>
  </si>
  <si>
    <t>A/R (Beg)</t>
  </si>
  <si>
    <t>Inventory (Beg)</t>
  </si>
  <si>
    <t>Prepaid Rent (Beg)</t>
  </si>
  <si>
    <t>Supplies (Beg)</t>
  </si>
  <si>
    <t>A/P (Beg)</t>
  </si>
  <si>
    <t>Wages Payable (Beg)</t>
  </si>
  <si>
    <t>Unearned Revenue (Beg)</t>
  </si>
  <si>
    <t>Interest Payable (Beg)</t>
  </si>
  <si>
    <t>Equipment (Beg)</t>
  </si>
  <si>
    <t>Accum Dep (Beg)</t>
  </si>
  <si>
    <t>Bank Loan LT (Beg)</t>
  </si>
  <si>
    <t>Common Stock (Beg)</t>
  </si>
  <si>
    <t>RE (Beg) [check]</t>
  </si>
  <si>
    <t>Total Current Assets (Beg)</t>
  </si>
  <si>
    <t>Net PPE (Beg)</t>
  </si>
  <si>
    <t>Total Assets (Beg)</t>
  </si>
  <si>
    <t>Total Current Liab (Beg)</t>
  </si>
  <si>
    <t>Total Liabilities (Beg)</t>
  </si>
  <si>
    <t>Total Equity (Beg)</t>
  </si>
  <si>
    <t>Avg A/R</t>
  </si>
  <si>
    <t>Avg Inventory</t>
  </si>
  <si>
    <t>Avg Total Assets</t>
  </si>
  <si>
    <t>Avg Equity</t>
  </si>
  <si>
    <t>Gross Margin</t>
  </si>
  <si>
    <t>Operating Margin</t>
  </si>
  <si>
    <t>Net Margin</t>
  </si>
  <si>
    <t>Current Ratio</t>
  </si>
  <si>
    <t>Quick Ratio</t>
  </si>
  <si>
    <t>Debt-to-Equity</t>
  </si>
  <si>
    <t>ROA</t>
  </si>
  <si>
    <t>ROE</t>
  </si>
  <si>
    <t>A/R Turnover</t>
  </si>
  <si>
    <t>DSO (days)</t>
  </si>
  <si>
    <t>Inventory Turnover</t>
  </si>
  <si>
    <t>DIO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</si>
</sst>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lements" displayName="Elements" ref="A1:D27" totalsRowShown="1" headerRowCount="1">
  <autoFilter ref="A1:D27">
    <filterColumn colId="0" hiddenButton="1"/>
    <filterColumn colId="1" hiddenButton="1"/>
    <filterColumn colId="2" hiddenButton="1"/>
    <filterColumn colId="3" hiddenButton="1"/>
  </autoFilter>
  <tableColumns count="4">
    <tableColumn id="1" name="Element" totalsRowLabel="Total"/>
    <tableColumn id="2" name="Amount" totalsRowFunction="none"/>
    <tableColumn id="3" name="DEALER" totalsRowFunction="none"/>
    <tableColumn id="4" name="Hint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BeginningBalances" displayName="BeginningBalances" ref="A1:B15" totalsRowShown="1" headerRowCount="1">
  <autoFilter ref="A1:B15">
    <filterColumn colId="0" hiddenButton="1"/>
    <filterColumn colId="1" hiddenButton="1"/>
  </autoFilter>
  <tableColumns count="2">
    <tableColumn id="1" name="Account" totalsRowLabel="Total"/>
    <tableColumn id="2" name="Beginning_Balanc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34" customWidth="1"/>
    <col min="2" max="2" width="16" customWidth="1"/>
    <col min="4" max="4" width="4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21373</v>
      </c>
      <c r="C2" t="s">
        <v>5</v>
      </c>
      <c r="D2" t="s">
        <v>6</v>
      </c>
    </row>
    <row r="3" spans="1:4" x14ac:dyDescent="0.25">
      <c r="A3" t="s">
        <v>7</v>
      </c>
      <c r="B3">
        <v>582</v>
      </c>
      <c r="C3" t="s">
        <v>8</v>
      </c>
      <c r="D3" t="s">
        <v>9</v>
      </c>
    </row>
    <row r="4" spans="1:4" x14ac:dyDescent="0.25">
      <c r="A4" t="s">
        <v>10</v>
      </c>
      <c r="B4">
        <v>3562</v>
      </c>
      <c r="C4" t="s">
        <v>5</v>
      </c>
      <c r="D4" t="s">
        <v>11</v>
      </c>
    </row>
    <row r="5" spans="1:4" x14ac:dyDescent="0.25">
      <c r="A5" t="s">
        <v>12</v>
      </c>
      <c r="B5">
        <v>12066</v>
      </c>
      <c r="C5" t="s">
        <v>8</v>
      </c>
      <c r="D5" t="s">
        <v>13</v>
      </c>
    </row>
    <row r="6" spans="1:4" x14ac:dyDescent="0.25">
      <c r="A6" t="s">
        <v>14</v>
      </c>
      <c r="B6">
        <v>1200</v>
      </c>
      <c r="C6" t="s">
        <v>8</v>
      </c>
      <c r="D6" t="s">
        <v>15</v>
      </c>
    </row>
    <row r="7" spans="1:4" x14ac:dyDescent="0.25">
      <c r="A7" t="s">
        <v>16</v>
      </c>
      <c r="B7">
        <v>4131</v>
      </c>
      <c r="C7" t="s">
        <v>8</v>
      </c>
      <c r="D7" t="s">
        <v>15</v>
      </c>
    </row>
    <row r="8" spans="1:4" x14ac:dyDescent="0.25">
      <c r="A8" t="s">
        <v>17</v>
      </c>
      <c r="B8">
        <v>442</v>
      </c>
      <c r="C8" t="s">
        <v>8</v>
      </c>
      <c r="D8" t="s">
        <v>15</v>
      </c>
    </row>
    <row r="9" spans="1:4" x14ac:dyDescent="0.25">
      <c r="A9" t="s">
        <v>18</v>
      </c>
      <c r="B9">
        <v>432</v>
      </c>
      <c r="C9" t="s">
        <v>8</v>
      </c>
      <c r="D9" t="s">
        <v>19</v>
      </c>
    </row>
    <row r="10" spans="1:4" x14ac:dyDescent="0.25">
      <c r="A10" t="s">
        <v>20</v>
      </c>
      <c r="B10">
        <v>86</v>
      </c>
      <c r="C10" t="s">
        <v>5</v>
      </c>
      <c r="D10" t="s">
        <v>21</v>
      </c>
    </row>
    <row r="11" spans="1:4" x14ac:dyDescent="0.25">
      <c r="A11" t="s">
        <v>22</v>
      </c>
      <c r="B11">
        <v>252</v>
      </c>
      <c r="C11" t="s">
        <v>8</v>
      </c>
      <c r="D11" t="s">
        <v>23</v>
      </c>
    </row>
    <row r="12" spans="1:4" x14ac:dyDescent="0.25">
      <c r="A12" t="s">
        <v>24</v>
      </c>
      <c r="B12">
        <v>520</v>
      </c>
      <c r="C12" t="s">
        <v>8</v>
      </c>
      <c r="D12" t="s">
        <v>25</v>
      </c>
    </row>
    <row r="13" spans="1:4" x14ac:dyDescent="0.25">
      <c r="A13" t="s">
        <v>26</v>
      </c>
      <c r="B13">
        <v>785</v>
      </c>
      <c r="C13" t="s">
        <v>27</v>
      </c>
      <c r="D13" t="s">
        <v>28</v>
      </c>
    </row>
    <row r="14" spans="1:4" x14ac:dyDescent="0.25">
      <c r="A14" t="s">
        <v>29</v>
      </c>
      <c r="B14">
        <v>18814</v>
      </c>
      <c r="C14" t="s">
        <v>30</v>
      </c>
      <c r="D14" t="s">
        <v>31</v>
      </c>
    </row>
    <row r="15" spans="1:4" x14ac:dyDescent="0.25">
      <c r="A15" t="s">
        <v>32</v>
      </c>
      <c r="B15">
        <v>2906</v>
      </c>
      <c r="C15" t="s">
        <v>30</v>
      </c>
      <c r="D15" t="s">
        <v>33</v>
      </c>
    </row>
    <row r="16" spans="1:4" x14ac:dyDescent="0.25">
      <c r="A16" t="s">
        <v>34</v>
      </c>
      <c r="B16">
        <v>2229</v>
      </c>
      <c r="C16" t="s">
        <v>30</v>
      </c>
      <c r="D16" t="s">
        <v>33</v>
      </c>
    </row>
    <row r="17" spans="1:4" x14ac:dyDescent="0.25">
      <c r="A17" t="s">
        <v>35</v>
      </c>
      <c r="B17">
        <v>1200</v>
      </c>
      <c r="C17" t="s">
        <v>30</v>
      </c>
      <c r="D17" t="s">
        <v>33</v>
      </c>
    </row>
    <row r="18" spans="1:4" x14ac:dyDescent="0.25">
      <c r="A18" t="s">
        <v>36</v>
      </c>
      <c r="B18">
        <v>350</v>
      </c>
      <c r="C18" t="s">
        <v>30</v>
      </c>
      <c r="D18" t="s">
        <v>33</v>
      </c>
    </row>
    <row r="19" spans="1:4" x14ac:dyDescent="0.25">
      <c r="A19" t="s">
        <v>37</v>
      </c>
      <c r="B19">
        <v>16000</v>
      </c>
      <c r="C19" t="s">
        <v>30</v>
      </c>
      <c r="D19" t="s">
        <v>38</v>
      </c>
    </row>
    <row r="20" spans="1:4" x14ac:dyDescent="0.25">
      <c r="A20" t="s">
        <v>39</v>
      </c>
      <c r="B20">
        <v>2832</v>
      </c>
      <c r="C20" t="s">
        <v>30</v>
      </c>
      <c r="D20" t="s">
        <v>40</v>
      </c>
    </row>
    <row r="21" spans="1:4" x14ac:dyDescent="0.25">
      <c r="A21" t="s">
        <v>41</v>
      </c>
      <c r="B21">
        <v>1604</v>
      </c>
      <c r="C21" t="s">
        <v>42</v>
      </c>
      <c r="D21" t="s">
        <v>43</v>
      </c>
    </row>
    <row r="22" spans="1:4" x14ac:dyDescent="0.25">
      <c r="A22" t="s">
        <v>44</v>
      </c>
      <c r="B22">
        <v>950</v>
      </c>
      <c r="C22" t="s">
        <v>42</v>
      </c>
      <c r="D22" t="s">
        <v>43</v>
      </c>
    </row>
    <row r="23" spans="1:4" x14ac:dyDescent="0.25">
      <c r="A23" t="s">
        <v>45</v>
      </c>
      <c r="B23">
        <v>600</v>
      </c>
      <c r="C23" t="s">
        <v>42</v>
      </c>
      <c r="D23" t="s">
        <v>43</v>
      </c>
    </row>
    <row r="24" spans="1:4" x14ac:dyDescent="0.25">
      <c r="A24" t="s">
        <v>46</v>
      </c>
      <c r="B24">
        <v>120</v>
      </c>
      <c r="C24" t="s">
        <v>42</v>
      </c>
      <c r="D24" t="s">
        <v>43</v>
      </c>
    </row>
    <row r="25" spans="1:4" x14ac:dyDescent="0.25">
      <c r="A25" t="s">
        <v>47</v>
      </c>
      <c r="B25">
        <v>10000</v>
      </c>
      <c r="C25" t="s">
        <v>42</v>
      </c>
      <c r="D25" t="s">
        <v>48</v>
      </c>
    </row>
    <row r="26" spans="1:4" x14ac:dyDescent="0.25">
      <c r="A26" t="s">
        <v>49</v>
      </c>
      <c r="B26">
        <v>15000</v>
      </c>
      <c r="C26" t="s">
        <v>8</v>
      </c>
      <c r="D26" t="s">
        <v>50</v>
      </c>
    </row>
    <row r="27" spans="1:4" x14ac:dyDescent="0.25">
      <c r="A27" t="s">
        <v>51</v>
      </c>
      <c r="B27">
        <v>5200</v>
      </c>
      <c r="C27" t="s">
        <v>8</v>
      </c>
      <c r="D27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4" customWidth="1"/>
    <col min="2" max="2" width="22" customWidth="1"/>
  </cols>
  <sheetData>
    <row r="1" spans="1:2" x14ac:dyDescent="0.25">
      <c r="A1" t="s">
        <v>53</v>
      </c>
      <c r="B1" t="s">
        <v>54</v>
      </c>
    </row>
    <row r="2" spans="1:2" x14ac:dyDescent="0.25">
      <c r="A2" t="s">
        <v>29</v>
      </c>
      <c r="B2">
        <v>11905</v>
      </c>
    </row>
    <row r="3" spans="1:2" x14ac:dyDescent="0.25">
      <c r="A3" t="s">
        <v>32</v>
      </c>
      <c r="B3">
        <v>3516</v>
      </c>
    </row>
    <row r="4" spans="1:2" x14ac:dyDescent="0.25">
      <c r="A4" t="s">
        <v>34</v>
      </c>
      <c r="B4">
        <v>2597</v>
      </c>
    </row>
    <row r="5" spans="1:2" x14ac:dyDescent="0.25">
      <c r="A5" t="s">
        <v>35</v>
      </c>
      <c r="B5">
        <v>1000</v>
      </c>
    </row>
    <row r="6" spans="1:2" x14ac:dyDescent="0.25">
      <c r="A6" t="s">
        <v>36</v>
      </c>
      <c r="B6">
        <v>300</v>
      </c>
    </row>
    <row r="7" spans="1:2" x14ac:dyDescent="0.25">
      <c r="A7" t="s">
        <v>37</v>
      </c>
      <c r="B7">
        <v>16000</v>
      </c>
    </row>
    <row r="8" spans="1:2" x14ac:dyDescent="0.25">
      <c r="A8" t="s">
        <v>39</v>
      </c>
      <c r="B8">
        <v>2400</v>
      </c>
    </row>
    <row r="9" spans="1:2" x14ac:dyDescent="0.25">
      <c r="A9" t="s">
        <v>41</v>
      </c>
      <c r="B9">
        <v>1438</v>
      </c>
    </row>
    <row r="10" spans="1:2" x14ac:dyDescent="0.25">
      <c r="A10" t="s">
        <v>44</v>
      </c>
      <c r="B10">
        <v>800</v>
      </c>
    </row>
    <row r="11" spans="1:2" x14ac:dyDescent="0.25">
      <c r="A11" t="s">
        <v>45</v>
      </c>
      <c r="B11">
        <v>400</v>
      </c>
    </row>
    <row r="12" spans="1:2" x14ac:dyDescent="0.25">
      <c r="A12" t="s">
        <v>46</v>
      </c>
      <c r="B12">
        <v>80</v>
      </c>
    </row>
    <row r="13" spans="1:2" x14ac:dyDescent="0.25">
      <c r="A13" t="s">
        <v>47</v>
      </c>
      <c r="B13">
        <v>10000</v>
      </c>
    </row>
    <row r="14" spans="1:2" x14ac:dyDescent="0.25">
      <c r="A14" t="s">
        <v>49</v>
      </c>
      <c r="B14">
        <v>15000</v>
      </c>
    </row>
    <row r="15" spans="1:2" x14ac:dyDescent="0.25">
      <c r="A15" t="s">
        <v>51</v>
      </c>
      <c r="B15">
        <v>5200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36" customWidth="1"/>
    <col min="2" max="2" width="24" customWidth="1"/>
  </cols>
  <sheetData>
    <row r="1" spans="1:4" x14ac:dyDescent="0.25">
      <c r="A1" s="1" t="s">
        <v>4</v>
      </c>
      <c r="B1">
        <f>XLOOKUP("Sales Revenue",Elements[Element],Elements[Amount])</f>
      </c>
      <c r="D1" t="s">
        <v>55</v>
      </c>
    </row>
    <row r="2" spans="1:4" x14ac:dyDescent="0.25">
      <c r="A2" s="1" t="s">
        <v>7</v>
      </c>
      <c r="B2">
        <f>XLOOKUP("Sales Returns &amp; Allowances",Elements[Element],Elements[Amount])</f>
      </c>
      <c r="D2" t="s">
        <v>56</v>
      </c>
    </row>
    <row r="3" spans="1:4" x14ac:dyDescent="0.25">
      <c r="A3" s="1" t="s">
        <v>10</v>
      </c>
      <c r="B3">
        <f>XLOOKUP("Service Revenue",Elements[Element],Elements[Amount])</f>
      </c>
      <c r="D3" t="s">
        <v>57</v>
      </c>
    </row>
    <row r="4" spans="1:2" x14ac:dyDescent="0.25">
      <c r="A4" s="1" t="s">
        <v>58</v>
      </c>
      <c r="B4">
        <f>B1-B2+B3</f>
      </c>
    </row>
    <row r="5" spans="1:2" x14ac:dyDescent="0.25">
      <c r="A5" s="1" t="s">
        <v>59</v>
      </c>
      <c r="B5">
        <f>XLOOKUP("Cost of Goods Sold",Elements[Element],Elements[Amount])</f>
      </c>
    </row>
    <row r="6" spans="1:2" x14ac:dyDescent="0.25">
      <c r="A6" s="1" t="s">
        <v>60</v>
      </c>
      <c r="B6">
        <f>B4-B5</f>
      </c>
    </row>
    <row r="7" spans="1:2" x14ac:dyDescent="0.25">
      <c r="A7" s="1" t="s">
        <v>14</v>
      </c>
      <c r="B7">
        <f>XLOOKUP("Rent Expense",Elements[Element],Elements[Amount])</f>
      </c>
    </row>
    <row r="8" spans="1:2" x14ac:dyDescent="0.25">
      <c r="A8" s="1" t="s">
        <v>16</v>
      </c>
      <c r="B8">
        <f>XLOOKUP("Wages Expense",Elements[Element],Elements[Amount])</f>
      </c>
    </row>
    <row r="9" spans="1:2" x14ac:dyDescent="0.25">
      <c r="A9" s="1" t="s">
        <v>17</v>
      </c>
      <c r="B9">
        <f>XLOOKUP("Utilities Expense",Elements[Element],Elements[Amount])</f>
      </c>
    </row>
    <row r="10" spans="1:2" x14ac:dyDescent="0.25">
      <c r="A10" s="1" t="s">
        <v>18</v>
      </c>
      <c r="B10">
        <f>XLOOKUP("Depreciation Expense",Elements[Element],Elements[Amount])</f>
      </c>
    </row>
    <row r="11" spans="1:2" x14ac:dyDescent="0.25">
      <c r="A11" s="1" t="s">
        <v>61</v>
      </c>
      <c r="B11">
        <f>SUM(B7:B10)</f>
      </c>
    </row>
    <row r="12" spans="1:2" x14ac:dyDescent="0.25">
      <c r="A12" s="1" t="s">
        <v>62</v>
      </c>
      <c r="B12">
        <f>B6-B11</f>
      </c>
    </row>
    <row r="13" spans="1:2" x14ac:dyDescent="0.25">
      <c r="A13" s="1" t="s">
        <v>20</v>
      </c>
      <c r="B13">
        <f>XLOOKUP("Interest Income",Elements[Element],Elements[Amount])</f>
      </c>
    </row>
    <row r="14" spans="1:2" x14ac:dyDescent="0.25">
      <c r="A14" s="1" t="s">
        <v>22</v>
      </c>
      <c r="B14">
        <f>XLOOKUP("Interest Expense",Elements[Element],Elements[Amount])</f>
      </c>
    </row>
    <row r="15" spans="1:2" x14ac:dyDescent="0.25">
      <c r="A15" s="1" t="s">
        <v>63</v>
      </c>
      <c r="B15">
        <f>B12+B13-B14</f>
      </c>
    </row>
    <row r="16" spans="1:2" x14ac:dyDescent="0.25">
      <c r="A16" s="1" t="s">
        <v>24</v>
      </c>
      <c r="B16">
        <f>XLOOKUP("Income Tax Expense",Elements[Element],Elements[Amount])</f>
      </c>
    </row>
    <row r="17" spans="1:2" x14ac:dyDescent="0.25">
      <c r="A17" s="1" t="s">
        <v>64</v>
      </c>
      <c r="B17">
        <f>B15-B16</f>
      </c>
    </row>
    <row r="18" spans="1:2" x14ac:dyDescent="0.25">
      <c r="A18" s="1" t="s">
        <v>65</v>
      </c>
      <c r="B18">
        <f>XLOOKUP("Cash",Elements[Element],Elements[Amount])</f>
      </c>
    </row>
    <row r="19" spans="1:2" x14ac:dyDescent="0.25">
      <c r="A19" s="1" t="s">
        <v>66</v>
      </c>
      <c r="B19">
        <f>XLOOKUP("Accounts Receivable",Elements[Element],Elements[Amount])</f>
      </c>
    </row>
    <row r="20" spans="1:2" x14ac:dyDescent="0.25">
      <c r="A20" s="1" t="s">
        <v>67</v>
      </c>
      <c r="B20">
        <f>XLOOKUP("Inventory",Elements[Element],Elements[Amount])</f>
      </c>
    </row>
    <row r="21" spans="1:2" x14ac:dyDescent="0.25">
      <c r="A21" s="1" t="s">
        <v>68</v>
      </c>
      <c r="B21">
        <f>XLOOKUP("Prepaid Rent",Elements[Element],Elements[Amount])</f>
      </c>
    </row>
    <row r="22" spans="1:2" x14ac:dyDescent="0.25">
      <c r="A22" s="1" t="s">
        <v>69</v>
      </c>
      <c r="B22">
        <f>XLOOKUP("Supplies",Elements[Element],Elements[Amount])</f>
      </c>
    </row>
    <row r="23" spans="1:2" x14ac:dyDescent="0.25">
      <c r="A23" s="1" t="s">
        <v>70</v>
      </c>
      <c r="B23">
        <f>XLOOKUP("Accounts Payable",Elements[Element],Elements[Amount])</f>
      </c>
    </row>
    <row r="24" spans="1:2" x14ac:dyDescent="0.25">
      <c r="A24" s="1" t="s">
        <v>71</v>
      </c>
      <c r="B24">
        <f>XLOOKUP("Wages Payable",Elements[Element],Elements[Amount])</f>
      </c>
    </row>
    <row r="25" spans="1:2" x14ac:dyDescent="0.25">
      <c r="A25" s="1" t="s">
        <v>72</v>
      </c>
      <c r="B25">
        <f>XLOOKUP("Unearned Revenue",Elements[Element],Elements[Amount])</f>
      </c>
    </row>
    <row r="26" spans="1:2" x14ac:dyDescent="0.25">
      <c r="A26" s="1" t="s">
        <v>73</v>
      </c>
      <c r="B26">
        <f>XLOOKUP("Interest Payable",Elements[Element],Elements[Amount])</f>
      </c>
    </row>
    <row r="27" spans="1:2" x14ac:dyDescent="0.25">
      <c r="A27" s="1" t="s">
        <v>74</v>
      </c>
      <c r="B27">
        <f>XLOOKUP("Equipment",Elements[Element],Elements[Amount])</f>
      </c>
    </row>
    <row r="28" spans="1:2" x14ac:dyDescent="0.25">
      <c r="A28" s="1" t="s">
        <v>75</v>
      </c>
      <c r="B28">
        <f>XLOOKUP("Accumulated Depreciation - Equip.",Elements[Element],Elements[Amount])</f>
      </c>
    </row>
    <row r="29" spans="1:2" x14ac:dyDescent="0.25">
      <c r="A29" s="1" t="s">
        <v>76</v>
      </c>
      <c r="B29">
        <f>XLOOKUP("Bank Loan (Long-term)",Elements[Element],Elements[Amount])</f>
      </c>
    </row>
    <row r="30" spans="1:2" x14ac:dyDescent="0.25">
      <c r="A30" s="1" t="s">
        <v>77</v>
      </c>
      <c r="B30">
        <f>XLOOKUP("Common Stock",Elements[Element],Elements[Amount])</f>
      </c>
    </row>
    <row r="31" spans="1:2" x14ac:dyDescent="0.25">
      <c r="A31" s="1" t="s">
        <v>78</v>
      </c>
      <c r="B31">
        <f>XLOOKUP("Owner Draw / Dividends",Elements[Element],Elements[Amount])</f>
      </c>
    </row>
    <row r="32" spans="1:2" x14ac:dyDescent="0.25">
      <c r="A32" s="1" t="s">
        <v>79</v>
      </c>
      <c r="B32">
        <f>XLOOKUP("Retained Earnings (Beg.)",Elements[Element],Elements[Amount])</f>
      </c>
    </row>
    <row r="33" spans="1:2" x14ac:dyDescent="0.25">
      <c r="A33" s="1" t="s">
        <v>80</v>
      </c>
      <c r="B33">
        <f>SUM(B18:B22)</f>
      </c>
    </row>
    <row r="34" spans="1:2" x14ac:dyDescent="0.25">
      <c r="A34" s="1" t="s">
        <v>81</v>
      </c>
      <c r="B34">
        <f>B27-B28</f>
      </c>
    </row>
    <row r="35" spans="1:2" x14ac:dyDescent="0.25">
      <c r="A35" s="1" t="s">
        <v>82</v>
      </c>
      <c r="B35">
        <f>B33+B34</f>
      </c>
    </row>
    <row r="36" spans="1:2" x14ac:dyDescent="0.25">
      <c r="A36" s="1" t="s">
        <v>83</v>
      </c>
      <c r="B36">
        <f>SUM(B23:B26)</f>
      </c>
    </row>
    <row r="37" spans="1:2" x14ac:dyDescent="0.25">
      <c r="A37" s="1" t="s">
        <v>84</v>
      </c>
      <c r="B37">
        <f>B36+B29</f>
      </c>
    </row>
    <row r="38" spans="1:2" x14ac:dyDescent="0.25">
      <c r="A38" s="1" t="s">
        <v>85</v>
      </c>
      <c r="B38">
        <f>B32+B17-B31</f>
      </c>
    </row>
    <row r="39" spans="1:2" x14ac:dyDescent="0.25">
      <c r="A39" s="1" t="s">
        <v>86</v>
      </c>
      <c r="B39">
        <f>B30+B38</f>
      </c>
    </row>
    <row r="40" spans="1:2" x14ac:dyDescent="0.25">
      <c r="A40" s="1" t="s">
        <v>87</v>
      </c>
      <c r="B40">
        <f>XLOOKUP("Cash",BeginningBalances[Account],BeginningBalances[Beginning_Balance])</f>
      </c>
    </row>
    <row r="41" spans="1:2" x14ac:dyDescent="0.25">
      <c r="A41" s="1" t="s">
        <v>88</v>
      </c>
      <c r="B41">
        <f>XLOOKUP("Accounts Receivable",BeginningBalances[Account],BeginningBalances[Beginning_Balance])</f>
      </c>
    </row>
    <row r="42" spans="1:2" x14ac:dyDescent="0.25">
      <c r="A42" s="1" t="s">
        <v>89</v>
      </c>
      <c r="B42">
        <f>XLOOKUP("Inventory",BeginningBalances[Account],BeginningBalances[Beginning_Balance])</f>
      </c>
    </row>
    <row r="43" spans="1:2" x14ac:dyDescent="0.25">
      <c r="A43" s="1" t="s">
        <v>90</v>
      </c>
      <c r="B43">
        <f>XLOOKUP("Prepaid Rent",BeginningBalances[Account],BeginningBalances[Beginning_Balance])</f>
      </c>
    </row>
    <row r="44" spans="1:2" x14ac:dyDescent="0.25">
      <c r="A44" s="1" t="s">
        <v>91</v>
      </c>
      <c r="B44">
        <f>XLOOKUP("Supplies",BeginningBalances[Account],BeginningBalances[Beginning_Balance])</f>
      </c>
    </row>
    <row r="45" spans="1:2" x14ac:dyDescent="0.25">
      <c r="A45" s="1" t="s">
        <v>92</v>
      </c>
      <c r="B45">
        <f>XLOOKUP("Accounts Payable",BeginningBalances[Account],BeginningBalances[Beginning_Balance])</f>
      </c>
    </row>
    <row r="46" spans="1:2" x14ac:dyDescent="0.25">
      <c r="A46" s="1" t="s">
        <v>93</v>
      </c>
      <c r="B46">
        <f>XLOOKUP("Wages Payable",BeginningBalances[Account],BeginningBalances[Beginning_Balance])</f>
      </c>
    </row>
    <row r="47" spans="1:2" x14ac:dyDescent="0.25">
      <c r="A47" s="1" t="s">
        <v>94</v>
      </c>
      <c r="B47">
        <f>XLOOKUP("Unearned Revenue",BeginningBalances[Account],BeginningBalances[Beginning_Balance])</f>
      </c>
    </row>
    <row r="48" spans="1:2" x14ac:dyDescent="0.25">
      <c r="A48" s="1" t="s">
        <v>95</v>
      </c>
      <c r="B48">
        <f>XLOOKUP("Interest Payable",BeginningBalances[Account],BeginningBalances[Beginning_Balance])</f>
      </c>
    </row>
    <row r="49" spans="1:2" x14ac:dyDescent="0.25">
      <c r="A49" s="1" t="s">
        <v>96</v>
      </c>
      <c r="B49">
        <f>XLOOKUP("Equipment",BeginningBalances[Account],BeginningBalances[Beginning_Balance])</f>
      </c>
    </row>
    <row r="50" spans="1:2" x14ac:dyDescent="0.25">
      <c r="A50" s="1" t="s">
        <v>97</v>
      </c>
      <c r="B50">
        <f>XLOOKUP("Accumulated Depreciation - Equip.",BeginningBalances[Account],BeginningBalances[Beginning_Balance])</f>
      </c>
    </row>
    <row r="51" spans="1:2" x14ac:dyDescent="0.25">
      <c r="A51" s="1" t="s">
        <v>98</v>
      </c>
      <c r="B51">
        <f>XLOOKUP("Bank Loan (Long-term)",BeginningBalances[Account],BeginningBalances[Beginning_Balance])</f>
      </c>
    </row>
    <row r="52" spans="1:2" x14ac:dyDescent="0.25">
      <c r="A52" s="1" t="s">
        <v>99</v>
      </c>
      <c r="B52">
        <f>XLOOKUP("Common Stock",BeginningBalances[Account],BeginningBalances[Beginning_Balance])</f>
      </c>
    </row>
    <row r="53" spans="1:2" x14ac:dyDescent="0.25">
      <c r="A53" s="1" t="s">
        <v>100</v>
      </c>
      <c r="B53">
        <f>XLOOKUP("Retained Earnings (Beg.)",BeginningBalances[Account],BeginningBalances[Beginning_Balance])</f>
      </c>
    </row>
    <row r="54" spans="1:2" x14ac:dyDescent="0.25">
      <c r="A54" s="1" t="s">
        <v>101</v>
      </c>
      <c r="B54">
        <f>SUM(B40:B44)</f>
      </c>
    </row>
    <row r="55" spans="1:2" x14ac:dyDescent="0.25">
      <c r="A55" s="1" t="s">
        <v>102</v>
      </c>
      <c r="B55">
        <f>B49-B50</f>
      </c>
    </row>
    <row r="56" spans="1:2" x14ac:dyDescent="0.25">
      <c r="A56" s="1" t="s">
        <v>103</v>
      </c>
      <c r="B56">
        <f>B54+B55</f>
      </c>
    </row>
    <row r="57" spans="1:2" x14ac:dyDescent="0.25">
      <c r="A57" s="1" t="s">
        <v>104</v>
      </c>
      <c r="B57">
        <f>SUM(B45:B48)</f>
      </c>
    </row>
    <row r="58" spans="1:2" x14ac:dyDescent="0.25">
      <c r="A58" s="1" t="s">
        <v>105</v>
      </c>
      <c r="B58">
        <f>B57+B51</f>
      </c>
    </row>
    <row r="59" spans="1:2" x14ac:dyDescent="0.25">
      <c r="A59" s="1" t="s">
        <v>106</v>
      </c>
      <c r="B59">
        <f>B52+B53</f>
      </c>
    </row>
    <row r="60" spans="1:2" x14ac:dyDescent="0.25">
      <c r="A60" s="1" t="s">
        <v>107</v>
      </c>
      <c r="B60">
        <f>AVERAGE(B19,B41)</f>
      </c>
    </row>
    <row r="61" spans="1:2" x14ac:dyDescent="0.25">
      <c r="A61" s="1" t="s">
        <v>108</v>
      </c>
      <c r="B61">
        <f>AVERAGE(B20,B42)</f>
      </c>
    </row>
    <row r="62" spans="1:2" x14ac:dyDescent="0.25">
      <c r="A62" s="1" t="s">
        <v>109</v>
      </c>
      <c r="B62">
        <f>AVERAGE(B35,B56)</f>
      </c>
    </row>
    <row r="63" spans="1:2" x14ac:dyDescent="0.25">
      <c r="A63" s="1" t="s">
        <v>110</v>
      </c>
      <c r="B63">
        <f>AVERAGE(B39,B59)</f>
      </c>
    </row>
    <row r="64" spans="1:2" x14ac:dyDescent="0.25">
      <c r="A64" s="1" t="s">
        <v>111</v>
      </c>
      <c r="B64" s="2">
        <f>B6/B4</f>
      </c>
    </row>
    <row r="65" spans="1:2" x14ac:dyDescent="0.25">
      <c r="A65" s="1" t="s">
        <v>112</v>
      </c>
      <c r="B65" s="2">
        <f>B12/B4</f>
      </c>
    </row>
    <row r="66" spans="1:2" x14ac:dyDescent="0.25">
      <c r="A66" s="1" t="s">
        <v>113</v>
      </c>
      <c r="B66" s="2">
        <f>B17/B4</f>
      </c>
    </row>
    <row r="67" spans="1:2" x14ac:dyDescent="0.25">
      <c r="A67" s="1" t="s">
        <v>114</v>
      </c>
      <c r="B67" s="3">
        <f>B33/B36</f>
      </c>
    </row>
    <row r="68" spans="1:2" x14ac:dyDescent="0.25">
      <c r="A68" s="1" t="s">
        <v>115</v>
      </c>
      <c r="B68" s="3">
        <f>(B18+B19)/B36</f>
      </c>
    </row>
    <row r="69" spans="1:2" x14ac:dyDescent="0.25">
      <c r="A69" s="1" t="s">
        <v>116</v>
      </c>
      <c r="B69" s="3">
        <f>B37/B39</f>
      </c>
    </row>
    <row r="70" spans="1:2" x14ac:dyDescent="0.25">
      <c r="A70" s="1" t="s">
        <v>117</v>
      </c>
      <c r="B70" s="2">
        <f>B17/B62</f>
      </c>
    </row>
    <row r="71" spans="1:2" x14ac:dyDescent="0.25">
      <c r="A71" s="1" t="s">
        <v>118</v>
      </c>
      <c r="B71" s="2">
        <f>B17/B63</f>
      </c>
    </row>
    <row r="72" spans="1:2" x14ac:dyDescent="0.25">
      <c r="A72" s="1" t="s">
        <v>119</v>
      </c>
      <c r="B72" s="3">
        <f>B4/B60</f>
      </c>
    </row>
    <row r="73" spans="1:2" x14ac:dyDescent="0.25">
      <c r="A73" s="1" t="s">
        <v>120</v>
      </c>
      <c r="B73" s="4">
        <f>IF(B72=0,"n/a",365/B72)</f>
      </c>
    </row>
    <row r="74" spans="1:2" x14ac:dyDescent="0.25">
      <c r="A74" s="1" t="s">
        <v>121</v>
      </c>
      <c r="B74" s="3">
        <f>B5/B61</f>
      </c>
    </row>
    <row r="75" spans="1:2" x14ac:dyDescent="0.25">
      <c r="A75" s="1" t="s">
        <v>122</v>
      </c>
      <c r="B75" s="4">
        <f>IF(B74=0,"n/a",365/B74)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Elements</vt:lpstr>
      <vt:lpstr>BeginningBalances</vt:lpstr>
      <vt:lpstr>Ratios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2025-11-10T03:38:18Z</dcterms:created>
  <dcterms:modified xsi:type="dcterms:W3CDTF">2025-11-10T03:38:18Z</dcterms:modified>
</cp:coreProperties>
</file>